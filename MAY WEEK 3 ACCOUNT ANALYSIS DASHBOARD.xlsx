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10.xml" ContentType="application/vnd.openxmlformats-officedocument.themeOverride+xml"/>
  <Override PartName="/xl/theme/themeOverride11.xml" ContentType="application/vnd.openxmlformats-officedocument.themeOverride+xml"/>
  <Override PartName="/xl/theme/themeOverride12.xml" ContentType="application/vnd.openxmlformats-officedocument.themeOverride+xml"/>
  <Override PartName="/xl/theme/themeOverride13.xml" ContentType="application/vnd.openxmlformats-officedocument.themeOverride+xml"/>
  <Override PartName="/xl/theme/themeOverride14.xml" ContentType="application/vnd.openxmlformats-officedocument.themeOverride+xml"/>
  <Override PartName="/xl/theme/themeOverride15.xml" ContentType="application/vnd.openxmlformats-officedocument.themeOverride+xml"/>
  <Override PartName="/xl/theme/themeOverride16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theme/themeOverride5.xml" ContentType="application/vnd.openxmlformats-officedocument.themeOverride+xml"/>
  <Override PartName="/xl/theme/themeOverride6.xml" ContentType="application/vnd.openxmlformats-officedocument.themeOverride+xml"/>
  <Override PartName="/xl/theme/themeOverride7.xml" ContentType="application/vnd.openxmlformats-officedocument.themeOverride+xml"/>
  <Override PartName="/xl/theme/themeOverride8.xml" ContentType="application/vnd.openxmlformats-officedocument.themeOverride+xml"/>
  <Override PartName="/xl/theme/themeOverride9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9666" activeTab="4"/>
  </bookViews>
  <sheets>
    <sheet name="DASHBOARD" sheetId="1" r:id="rId1"/>
    <sheet name="RawData" sheetId="2" r:id="rId2"/>
    <sheet name="Adam" sheetId="3" r:id="rId3"/>
    <sheet name="Al-ameen" sheetId="4" r:id="rId4"/>
    <sheet name="Chibueze" sheetId="5" r:id="rId5"/>
    <sheet name="Dami" sheetId="6" r:id="rId6"/>
    <sheet name="Femi" sheetId="7" r:id="rId7"/>
    <sheet name="Goodluck" sheetId="8" r:id="rId8"/>
    <sheet name="Iyiola" sheetId="9" r:id="rId9"/>
    <sheet name="Jamiu" sheetId="10" r:id="rId10"/>
    <sheet name="Lebari" sheetId="11" r:id="rId11"/>
    <sheet name="Mariam" sheetId="12" r:id="rId12"/>
    <sheet name="Opemipo" sheetId="13" r:id="rId13"/>
    <sheet name="Oluwatobi" sheetId="14" r:id="rId14"/>
    <sheet name="Seyi" sheetId="15" r:id="rId15"/>
    <sheet name="Solomon" sheetId="16" r:id="rId16"/>
    <sheet name="Somtochukwu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<sst xmlns="http://schemas.openxmlformats.org/spreadsheetml/2006/main" count="470" uniqueCount="105">
  <si>
    <t>📊  WEEKLY PERFORMANCE DASHBOARD  |  Week 3 May 2026  (05/15 – 05/21)</t>
  </si>
  <si>
    <t>TOTAL CASES</t>
  </si>
  <si>
    <t>TOTAL NEW CASES</t>
  </si>
  <si>
    <t>TOTAL REVISIONS</t>
  </si>
  <si>
    <t>AVG REV %</t>
  </si>
  <si>
    <t>TOP PERFORMER</t>
  </si>
  <si>
    <t>LOWEST REV %</t>
  </si>
  <si>
    <t>15.1%</t>
  </si>
  <si>
    <t>Dami</t>
  </si>
  <si>
    <t>Chibueze</t>
  </si>
  <si>
    <t>ALL ACCOUNTS — SUMMARY TABLE</t>
  </si>
  <si>
    <t>RANKINGS</t>
  </si>
  <si>
    <t>Account</t>
  </si>
  <si>
    <t>Total
Cases</t>
  </si>
  <si>
    <t>New
Cases</t>
  </si>
  <si>
    <t>New %</t>
  </si>
  <si>
    <t>Revisions</t>
  </si>
  <si>
    <t>Rev %</t>
  </si>
  <si>
    <t>Addendum</t>
  </si>
  <si>
    <t>QA
Corr.</t>
  </si>
  <si>
    <t>Avg
Daily</t>
  </si>
  <si>
    <t>Avg
Rev</t>
  </si>
  <si>
    <t>05/15
New</t>
  </si>
  <si>
    <t>05/18
New</t>
  </si>
  <si>
    <t>05/19
New</t>
  </si>
  <si>
    <t>05/20
New</t>
  </si>
  <si>
    <t>05/21
New</t>
  </si>
  <si>
    <t>Total Cases</t>
  </si>
  <si>
    <t>Adam</t>
  </si>
  <si>
    <t>🥇 Dami</t>
  </si>
  <si>
    <t>Al-ameen</t>
  </si>
  <si>
    <t>🥈 Al-ameen</t>
  </si>
  <si>
    <t>🥉 Jamiu</t>
  </si>
  <si>
    <t>4. Seyi</t>
  </si>
  <si>
    <t>Femi</t>
  </si>
  <si>
    <t>5. Solomon</t>
  </si>
  <si>
    <t>Goodluck</t>
  </si>
  <si>
    <t>6. Mariam</t>
  </si>
  <si>
    <t>Iyiola</t>
  </si>
  <si>
    <t>7. Goodluck</t>
  </si>
  <si>
    <t>Jamiu</t>
  </si>
  <si>
    <t>8. Femi</t>
  </si>
  <si>
    <t>Lebari</t>
  </si>
  <si>
    <t>9. Lebari</t>
  </si>
  <si>
    <t>Mariam</t>
  </si>
  <si>
    <t>10. Oluwatobi</t>
  </si>
  <si>
    <t>Opemipo</t>
  </si>
  <si>
    <t>11. Somtochukwu</t>
  </si>
  <si>
    <t>Oluwatobi</t>
  </si>
  <si>
    <t>12. Opemipo</t>
  </si>
  <si>
    <t>Seyi</t>
  </si>
  <si>
    <t>13. Adam</t>
  </si>
  <si>
    <t>Solomon</t>
  </si>
  <si>
    <t>14. Iyiola</t>
  </si>
  <si>
    <t>Somtochukwu</t>
  </si>
  <si>
    <t>15. Chibueze</t>
  </si>
  <si>
    <t>TOTAL / AVG</t>
  </si>
  <si>
    <t>NEW CASES VS REVISIONS — ALL ACCOUNTS</t>
  </si>
  <si>
    <t>DAILY NEW CASES — ALL ACCOUNTS</t>
  </si>
  <si>
    <t>New Cases</t>
  </si>
  <si>
    <t>Date</t>
  </si>
  <si>
    <t>05/15</t>
  </si>
  <si>
    <t>05/18</t>
  </si>
  <si>
    <t>05/19</t>
  </si>
  <si>
    <t>05/20</t>
  </si>
  <si>
    <t>05/21</t>
  </si>
  <si>
    <t>REVISION % BY ACCOUNT</t>
  </si>
  <si>
    <t>AVG DAILY CASELOAD BY ACCOUNT</t>
  </si>
  <si>
    <t>Avg Daily</t>
  </si>
  <si>
    <t>05/15 New</t>
  </si>
  <si>
    <t>05/18 New</t>
  </si>
  <si>
    <t>05/19 New</t>
  </si>
  <si>
    <t>05/20 New</t>
  </si>
  <si>
    <t>05/21 New</t>
  </si>
  <si>
    <t>05/15 Rev</t>
  </si>
  <si>
    <t>05/18 Rev</t>
  </si>
  <si>
    <t>05/19 Rev</t>
  </si>
  <si>
    <t>05/20 Rev</t>
  </si>
  <si>
    <t>05/21 Rev</t>
  </si>
  <si>
    <t>Total New</t>
  </si>
  <si>
    <t>Total Rev</t>
  </si>
  <si>
    <t>Rev%</t>
  </si>
  <si>
    <t>New%</t>
  </si>
  <si>
    <t>ADAM — Week 3 May 2026 Account Analysis</t>
  </si>
  <si>
    <t>DAILY BREAKDOWN</t>
  </si>
  <si>
    <t>05/15/2026</t>
  </si>
  <si>
    <t>05/18/2026</t>
  </si>
  <si>
    <t>05/19/2026</t>
  </si>
  <si>
    <t>05/20/2026</t>
  </si>
  <si>
    <t>05/21/2026</t>
  </si>
  <si>
    <t>TOTAL</t>
  </si>
  <si>
    <t>AL-AMEEN — Week 3 May 2026 Account Analysis</t>
  </si>
  <si>
    <t>CHIBUEZE — Week 3 May 2026 Account Analysis</t>
  </si>
  <si>
    <t>DAMI — Week 3 May 2026 Account Analysis</t>
  </si>
  <si>
    <t>FEMI — Week 3 May 2026 Account Analysis</t>
  </si>
  <si>
    <t>GOODLUCK — Week 3 May 2026 Account Analysis</t>
  </si>
  <si>
    <t>IYIOLA — Week 3 May 2026 Account Analysis</t>
  </si>
  <si>
    <t>JAMIU — Week 3 May 2026 Account Analysis</t>
  </si>
  <si>
    <t>LEBARI — Week 3 May 2026 Account Analysis</t>
  </si>
  <si>
    <t>MARIAM — Week 3 May 2026 Account Analysis</t>
  </si>
  <si>
    <t>OPEMIPO — Week 3 May 2026 Account Analysis</t>
  </si>
  <si>
    <t>OLUWATOBI — Week 3 May 2026 Account Analysis</t>
  </si>
  <si>
    <t>SEYI — Week 3 May 2026 Account Analysis</t>
  </si>
  <si>
    <t>SOLOMON — Week 3 May 2026 Account Analysis</t>
  </si>
  <si>
    <t>SOMTOCHUKWU — Week 3 May 2026 Account Analysis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</si>
</sst>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  <numFmt numFmtId="179" formatCode="0.0%"/>
  </numFmts>
  <fonts count="34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b/>
      <sz val="10"/>
      <color rgb="FFFFFFFF"/>
      <name val="Arial"/>
      <charset val="134"/>
    </font>
    <font>
      <b/>
      <sz val="10"/>
      <color rgb="FF1F3864"/>
      <name val="Arial"/>
      <charset val="134"/>
    </font>
    <font>
      <b/>
      <sz val="11"/>
      <color rgb="FFFFFFFF"/>
      <name val="Arial"/>
      <charset val="134"/>
    </font>
    <font>
      <sz val="10"/>
      <color rgb="FF000000"/>
      <name val="Arial"/>
      <charset val="134"/>
    </font>
    <font>
      <sz val="10"/>
      <color rgb="FF1F5C99"/>
      <name val="Arial"/>
      <charset val="134"/>
    </font>
    <font>
      <sz val="10"/>
      <color rgb="FFC00000"/>
      <name val="Arial"/>
      <charset val="134"/>
    </font>
    <font>
      <b/>
      <sz val="16"/>
      <color rgb="FFFFFFFF"/>
      <name val="Arial"/>
      <charset val="134"/>
    </font>
    <font>
      <b/>
      <sz val="9"/>
      <color rgb="FFFFFFFF"/>
      <name val="Arial"/>
      <charset val="134"/>
    </font>
    <font>
      <b/>
      <sz val="14"/>
      <color rgb="FF1F3864"/>
      <name val="Arial"/>
      <charset val="134"/>
    </font>
    <font>
      <b/>
      <sz val="12"/>
      <color rgb="FFFFFFFF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D7F3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4" borderId="10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5" borderId="13" applyNumberFormat="0" applyAlignment="0" applyProtection="0">
      <alignment vertical="center"/>
    </xf>
    <xf numFmtId="0" fontId="24" fillId="16" borderId="14" applyNumberFormat="0" applyAlignment="0" applyProtection="0">
      <alignment vertical="center"/>
    </xf>
    <xf numFmtId="0" fontId="25" fillId="16" borderId="13" applyNumberFormat="0" applyAlignment="0" applyProtection="0">
      <alignment vertical="center"/>
    </xf>
    <xf numFmtId="0" fontId="26" fillId="17" borderId="15" applyNumberFormat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</cellStyleXfs>
  <cellXfs count="7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10" fontId="3" fillId="4" borderId="5" xfId="0" applyNumberFormat="1" applyFont="1" applyFill="1" applyBorder="1" applyAlignment="1">
      <alignment horizontal="center" vertical="center"/>
    </xf>
    <xf numFmtId="178" fontId="3" fillId="4" borderId="6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10" fontId="5" fillId="5" borderId="8" xfId="0" applyNumberFormat="1" applyFont="1" applyFill="1" applyBorder="1" applyAlignment="1">
      <alignment horizontal="center" vertical="center"/>
    </xf>
    <xf numFmtId="10" fontId="5" fillId="5" borderId="9" xfId="0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10" fontId="5" fillId="6" borderId="8" xfId="0" applyNumberFormat="1" applyFont="1" applyFill="1" applyBorder="1" applyAlignment="1">
      <alignment horizontal="center" vertical="center"/>
    </xf>
    <xf numFmtId="10" fontId="5" fillId="6" borderId="9" xfId="0" applyNumberFormat="1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10" fontId="3" fillId="7" borderId="5" xfId="0" applyNumberFormat="1" applyFont="1" applyFill="1" applyBorder="1" applyAlignment="1">
      <alignment horizontal="center" vertical="center"/>
    </xf>
    <xf numFmtId="10" fontId="3" fillId="7" borderId="6" xfId="0" applyNumberFormat="1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6" xfId="0" applyBorder="1"/>
    <xf numFmtId="0" fontId="1" fillId="8" borderId="4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left" vertical="center"/>
    </xf>
    <xf numFmtId="0" fontId="13" fillId="6" borderId="8" xfId="0" applyFont="1" applyFill="1" applyBorder="1" applyAlignment="1">
      <alignment horizontal="center" vertical="center"/>
    </xf>
    <xf numFmtId="179" fontId="13" fillId="6" borderId="8" xfId="0" applyNumberFormat="1" applyFont="1" applyFill="1" applyBorder="1" applyAlignment="1">
      <alignment horizontal="center" vertical="center"/>
    </xf>
    <xf numFmtId="178" fontId="13" fillId="6" borderId="8" xfId="0" applyNumberFormat="1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left" vertical="center"/>
    </xf>
    <xf numFmtId="0" fontId="3" fillId="7" borderId="8" xfId="0" applyFont="1" applyFill="1" applyBorder="1" applyAlignment="1">
      <alignment horizontal="center" vertical="center"/>
    </xf>
    <xf numFmtId="179" fontId="3" fillId="7" borderId="9" xfId="0" applyNumberFormat="1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left" vertical="center"/>
    </xf>
    <xf numFmtId="0" fontId="13" fillId="5" borderId="8" xfId="0" applyFont="1" applyFill="1" applyBorder="1" applyAlignment="1">
      <alignment horizontal="center" vertical="center"/>
    </xf>
    <xf numFmtId="179" fontId="13" fillId="5" borderId="8" xfId="0" applyNumberFormat="1" applyFont="1" applyFill="1" applyBorder="1" applyAlignment="1">
      <alignment horizontal="center" vertical="center"/>
    </xf>
    <xf numFmtId="178" fontId="13" fillId="5" borderId="8" xfId="0" applyNumberFormat="1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3" fillId="12" borderId="7" xfId="0" applyFont="1" applyFill="1" applyBorder="1" applyAlignment="1">
      <alignment horizontal="left" vertical="center"/>
    </xf>
    <xf numFmtId="0" fontId="3" fillId="12" borderId="8" xfId="0" applyFont="1" applyFill="1" applyBorder="1" applyAlignment="1">
      <alignment horizontal="center" vertical="center"/>
    </xf>
    <xf numFmtId="179" fontId="3" fillId="12" borderId="9" xfId="0" applyNumberFormat="1" applyFont="1" applyFill="1" applyBorder="1" applyAlignment="1">
      <alignment horizontal="center" vertical="center"/>
    </xf>
    <xf numFmtId="0" fontId="3" fillId="13" borderId="7" xfId="0" applyFont="1" applyFill="1" applyBorder="1" applyAlignment="1">
      <alignment horizontal="left" vertical="center"/>
    </xf>
    <xf numFmtId="0" fontId="3" fillId="13" borderId="8" xfId="0" applyFont="1" applyFill="1" applyBorder="1" applyAlignment="1">
      <alignment horizontal="center" vertical="center"/>
    </xf>
    <xf numFmtId="179" fontId="3" fillId="13" borderId="9" xfId="0" applyNumberFormat="1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left" vertical="center"/>
    </xf>
    <xf numFmtId="179" fontId="5" fillId="5" borderId="9" xfId="0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left" vertical="center"/>
    </xf>
    <xf numFmtId="179" fontId="5" fillId="6" borderId="9" xfId="0" applyNumberFormat="1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center" vertical="center"/>
    </xf>
    <xf numFmtId="179" fontId="5" fillId="6" borderId="6" xfId="0" applyNumberFormat="1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left" vertical="center"/>
    </xf>
    <xf numFmtId="179" fontId="3" fillId="7" borderId="5" xfId="0" applyNumberFormat="1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2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themeOverride" Target="../theme/themeOverride3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ColorStyle" Target="colors5.xml"/><Relationship Id="rId2" Type="http://schemas.microsoft.com/office/2011/relationships/chartStyle" Target="style5.xml"/><Relationship Id="rId1" Type="http://schemas.openxmlformats.org/officeDocument/2006/relationships/themeOverride" Target="../theme/themeOverride4.xml"/></Relationships>
</file>

<file path=xl/charts/_rels/chart6.xml.rels><?xml version="1.0" encoding="UTF-8" standalone="yes"?>
<Relationships xmlns="http://schemas.openxmlformats.org/package/2006/relationships"><Relationship Id="rId3" Type="http://schemas.microsoft.com/office/2011/relationships/chartColorStyle" Target="colors6.xml"/><Relationship Id="rId2" Type="http://schemas.microsoft.com/office/2011/relationships/chartStyle" Target="style6.xml"/><Relationship Id="rId1" Type="http://schemas.openxmlformats.org/officeDocument/2006/relationships/themeOverride" Target="../theme/themeOverride5.xml"/></Relationships>
</file>

<file path=xl/charts/_rels/chart7.xml.rels><?xml version="1.0" encoding="UTF-8" standalone="yes"?>
<Relationships xmlns="http://schemas.openxmlformats.org/package/2006/relationships"><Relationship Id="rId3" Type="http://schemas.microsoft.com/office/2011/relationships/chartColorStyle" Target="colors7.xml"/><Relationship Id="rId2" Type="http://schemas.microsoft.com/office/2011/relationships/chartStyle" Target="style7.xml"/><Relationship Id="rId1" Type="http://schemas.openxmlformats.org/officeDocument/2006/relationships/themeOverride" Target="../theme/themeOverride6.xml"/></Relationships>
</file>

<file path=xl/charts/_rels/chart8.xml.rels><?xml version="1.0" encoding="UTF-8" standalone="yes"?>
<Relationships xmlns="http://schemas.openxmlformats.org/package/2006/relationships"><Relationship Id="rId3" Type="http://schemas.microsoft.com/office/2011/relationships/chartColorStyle" Target="colors8.xml"/><Relationship Id="rId2" Type="http://schemas.microsoft.com/office/2011/relationships/chartStyle" Target="style8.xml"/><Relationship Id="rId1" Type="http://schemas.openxmlformats.org/officeDocument/2006/relationships/themeOverride" Target="../theme/themeOverride7.xml"/></Relationships>
</file>

<file path=xl/charts/_rels/chart9.xml.rels><?xml version="1.0" encoding="UTF-8" standalone="yes"?>
<Relationships xmlns="http://schemas.openxmlformats.org/package/2006/relationships"><Relationship Id="rId3" Type="http://schemas.microsoft.com/office/2011/relationships/chartColorStyle" Target="colors9.xml"/><Relationship Id="rId2" Type="http://schemas.microsoft.com/office/2011/relationships/chartStyle" Target="style9.xml"/><Relationship Id="rId1" Type="http://schemas.openxmlformats.org/officeDocument/2006/relationships/themeOverride" Target="../theme/themeOverride8.xml"/></Relationships>
</file>

<file path=xl/charts/_rels/chart10.xml.rels><?xml version="1.0" encoding="UTF-8" standalone="yes"?>
<Relationships xmlns="http://schemas.openxmlformats.org/package/2006/relationships"><Relationship Id="rId3" Type="http://schemas.microsoft.com/office/2011/relationships/chartColorStyle" Target="colors10.xml"/><Relationship Id="rId2" Type="http://schemas.microsoft.com/office/2011/relationships/chartStyle" Target="style10.xml"/><Relationship Id="rId1" Type="http://schemas.openxmlformats.org/officeDocument/2006/relationships/themeOverride" Target="../theme/themeOverride9.xml"/></Relationships>
</file>

<file path=xl/charts/_rels/chart11.xml.rels><?xml version="1.0" encoding="UTF-8" standalone="yes"?>
<Relationships xmlns="http://schemas.openxmlformats.org/package/2006/relationships"><Relationship Id="rId3" Type="http://schemas.microsoft.com/office/2011/relationships/chartColorStyle" Target="colors11.xml"/><Relationship Id="rId2" Type="http://schemas.microsoft.com/office/2011/relationships/chartStyle" Target="style11.xml"/><Relationship Id="rId1" Type="http://schemas.openxmlformats.org/officeDocument/2006/relationships/themeOverride" Target="../theme/themeOverride10.xml"/></Relationships>
</file>

<file path=xl/charts/_rels/chart12.xml.rels><?xml version="1.0" encoding="UTF-8" standalone="yes"?>
<Relationships xmlns="http://schemas.openxmlformats.org/package/2006/relationships"><Relationship Id="rId3" Type="http://schemas.microsoft.com/office/2011/relationships/chartColorStyle" Target="colors12.xml"/><Relationship Id="rId2" Type="http://schemas.microsoft.com/office/2011/relationships/chartStyle" Target="style12.xml"/><Relationship Id="rId1" Type="http://schemas.openxmlformats.org/officeDocument/2006/relationships/themeOverride" Target="../theme/themeOverride11.xml"/></Relationships>
</file>

<file path=xl/charts/_rels/chart13.xml.rels><?xml version="1.0" encoding="UTF-8" standalone="yes"?>
<Relationships xmlns="http://schemas.openxmlformats.org/package/2006/relationships"><Relationship Id="rId3" Type="http://schemas.microsoft.com/office/2011/relationships/chartColorStyle" Target="colors13.xml"/><Relationship Id="rId2" Type="http://schemas.microsoft.com/office/2011/relationships/chartStyle" Target="style13.xml"/><Relationship Id="rId1" Type="http://schemas.openxmlformats.org/officeDocument/2006/relationships/themeOverride" Target="../theme/themeOverride12.xml"/></Relationships>
</file>

<file path=xl/charts/_rels/chart14.xml.rels><?xml version="1.0" encoding="UTF-8" standalone="yes"?>
<Relationships xmlns="http://schemas.openxmlformats.org/package/2006/relationships"><Relationship Id="rId3" Type="http://schemas.microsoft.com/office/2011/relationships/chartColorStyle" Target="colors14.xml"/><Relationship Id="rId2" Type="http://schemas.microsoft.com/office/2011/relationships/chartStyle" Target="style14.xml"/><Relationship Id="rId1" Type="http://schemas.openxmlformats.org/officeDocument/2006/relationships/themeOverride" Target="../theme/themeOverride13.xml"/></Relationships>
</file>

<file path=xl/charts/_rels/chart15.xml.rels><?xml version="1.0" encoding="UTF-8" standalone="yes"?>
<Relationships xmlns="http://schemas.openxmlformats.org/package/2006/relationships"><Relationship Id="rId3" Type="http://schemas.microsoft.com/office/2011/relationships/chartColorStyle" Target="colors15.xml"/><Relationship Id="rId2" Type="http://schemas.microsoft.com/office/2011/relationships/chartStyle" Target="style15.xml"/><Relationship Id="rId1" Type="http://schemas.openxmlformats.org/officeDocument/2006/relationships/themeOverride" Target="../theme/themeOverride14.xml"/></Relationships>
</file>

<file path=xl/charts/_rels/chart16.xml.rels><?xml version="1.0" encoding="UTF-8" standalone="yes"?>
<Relationships xmlns="http://schemas.openxmlformats.org/package/2006/relationships"><Relationship Id="rId3" Type="http://schemas.microsoft.com/office/2011/relationships/chartColorStyle" Target="colors16.xml"/><Relationship Id="rId2" Type="http://schemas.microsoft.com/office/2011/relationships/chartStyle" Target="style16.xml"/><Relationship Id="rId1" Type="http://schemas.openxmlformats.org/officeDocument/2006/relationships/themeOverride" Target="../theme/themeOverride15.xml"/></Relationships>
</file>

<file path=xl/charts/_rels/chart17.xml.rels><?xml version="1.0" encoding="UTF-8" standalone="yes"?>
<Relationships xmlns="http://schemas.openxmlformats.org/package/2006/relationships"><Relationship Id="rId3" Type="http://schemas.microsoft.com/office/2011/relationships/chartColorStyle" Target="colors17.xml"/><Relationship Id="rId2" Type="http://schemas.microsoft.com/office/2011/relationships/chartStyle" Target="style17.xml"/><Relationship Id="rId1" Type="http://schemas.openxmlformats.org/officeDocument/2006/relationships/themeOverride" Target="../theme/themeOverrid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  <a:r>
              <a:t>New Cases vs Revisions — All Accounts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DASHBOARD!$C$28</c:f>
              <c:strCache>
                <c:ptCount val="1"/>
                <c:pt idx="0">
                  <c:v>New Cases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DASHBOARD!$B$29:$B$43</c:f>
              <c:strCache>
                <c:ptCount val="15"/>
                <c:pt idx="0">
                  <c:v>Adam</c:v>
                </c:pt>
                <c:pt idx="1">
                  <c:v>Al-ameen</c:v>
                </c:pt>
                <c:pt idx="2">
                  <c:v>Chibueze</c:v>
                </c:pt>
                <c:pt idx="3">
                  <c:v>Dami</c:v>
                </c:pt>
                <c:pt idx="4">
                  <c:v>Femi</c:v>
                </c:pt>
                <c:pt idx="5">
                  <c:v>Goodluck</c:v>
                </c:pt>
                <c:pt idx="6">
                  <c:v>Iyiola</c:v>
                </c:pt>
                <c:pt idx="7">
                  <c:v>Jamiu</c:v>
                </c:pt>
                <c:pt idx="8">
                  <c:v>Lebari</c:v>
                </c:pt>
                <c:pt idx="9">
                  <c:v>Mariam</c:v>
                </c:pt>
                <c:pt idx="10">
                  <c:v>Opemipo</c:v>
                </c:pt>
                <c:pt idx="11">
                  <c:v>Oluwatobi</c:v>
                </c:pt>
                <c:pt idx="12">
                  <c:v>Seyi</c:v>
                </c:pt>
                <c:pt idx="13">
                  <c:v>Solomon</c:v>
                </c:pt>
                <c:pt idx="14">
                  <c:v>Somtochukwu</c:v>
                </c:pt>
              </c:strCache>
            </c:strRef>
          </c:cat>
          <c:val>
            <c:numRef>
              <c:f>DASHBOARD!$C$29:$C$43</c:f>
              <c:numCache>
                <c:formatCode>General</c:formatCode>
                <c:ptCount val="15"/>
                <c:pt idx="0">
                  <c:v>8</c:v>
                </c:pt>
                <c:pt idx="1">
                  <c:v>23</c:v>
                </c:pt>
                <c:pt idx="2">
                  <c:v>4</c:v>
                </c:pt>
                <c:pt idx="3">
                  <c:v>25</c:v>
                </c:pt>
                <c:pt idx="4">
                  <c:v>15</c:v>
                </c:pt>
                <c:pt idx="5">
                  <c:v>21</c:v>
                </c:pt>
                <c:pt idx="6">
                  <c:v>8</c:v>
                </c:pt>
                <c:pt idx="7">
                  <c:v>23</c:v>
                </c:pt>
                <c:pt idx="8">
                  <c:v>14</c:v>
                </c:pt>
                <c:pt idx="9">
                  <c:v>17</c:v>
                </c:pt>
                <c:pt idx="10">
                  <c:v>13</c:v>
                </c:pt>
                <c:pt idx="11">
                  <c:v>13</c:v>
                </c:pt>
                <c:pt idx="12">
                  <c:v>17</c:v>
                </c:pt>
                <c:pt idx="13">
                  <c:v>17</c:v>
                </c:pt>
                <c:pt idx="14">
                  <c:v>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DASHBOARD!$D$28</c:f>
              <c:strCache>
                <c:ptCount val="1"/>
                <c:pt idx="0">
                  <c:v>Revisions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DASHBOARD!$B$29:$B$43</c:f>
              <c:strCache>
                <c:ptCount val="15"/>
                <c:pt idx="0">
                  <c:v>Adam</c:v>
                </c:pt>
                <c:pt idx="1">
                  <c:v>Al-ameen</c:v>
                </c:pt>
                <c:pt idx="2">
                  <c:v>Chibueze</c:v>
                </c:pt>
                <c:pt idx="3">
                  <c:v>Dami</c:v>
                </c:pt>
                <c:pt idx="4">
                  <c:v>Femi</c:v>
                </c:pt>
                <c:pt idx="5">
                  <c:v>Goodluck</c:v>
                </c:pt>
                <c:pt idx="6">
                  <c:v>Iyiola</c:v>
                </c:pt>
                <c:pt idx="7">
                  <c:v>Jamiu</c:v>
                </c:pt>
                <c:pt idx="8">
                  <c:v>Lebari</c:v>
                </c:pt>
                <c:pt idx="9">
                  <c:v>Mariam</c:v>
                </c:pt>
                <c:pt idx="10">
                  <c:v>Opemipo</c:v>
                </c:pt>
                <c:pt idx="11">
                  <c:v>Oluwatobi</c:v>
                </c:pt>
                <c:pt idx="12">
                  <c:v>Seyi</c:v>
                </c:pt>
                <c:pt idx="13">
                  <c:v>Solomon</c:v>
                </c:pt>
                <c:pt idx="14">
                  <c:v>Somtochukwu</c:v>
                </c:pt>
              </c:strCache>
            </c:strRef>
          </c:cat>
          <c:val>
            <c:numRef>
              <c:f>DASHBOARD!$D$29:$D$43</c:f>
              <c:numCache>
                <c:formatCode>General</c:formatCode>
                <c:ptCount val="15"/>
                <c:pt idx="0">
                  <c:v>1</c:v>
                </c:pt>
                <c:pt idx="1">
                  <c:v>8</c:v>
                </c:pt>
                <c:pt idx="2">
                  <c:v>0</c:v>
                </c:pt>
                <c:pt idx="3">
                  <c:v>11</c:v>
                </c:pt>
                <c:pt idx="4">
                  <c:v>5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2</c:v>
                </c:pt>
                <c:pt idx="11">
                  <c:v>4</c:v>
                </c:pt>
                <c:pt idx="12">
                  <c:v>9</c:v>
                </c:pt>
                <c:pt idx="13">
                  <c:v>8</c:v>
                </c:pt>
                <c:pt idx="14">
                  <c:v>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charset="-122"/>
              <a:ea typeface="Microsoft YaHei" panose="020B0503020204020204" charset="-122"/>
              <a:cs typeface="Microsoft YaHei" panose="020B0503020204020204" charset="-122"/>
              <a:sym typeface="Microsoft YaHei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392e41a-44f1-4f21-bd1e-a201e48a832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0">
          <a:latin typeface="Microsoft YaHei" panose="020B0503020204020204" charset="-122"/>
          <a:ea typeface="Microsoft YaHei" panose="020B0503020204020204" charset="-122"/>
          <a:cs typeface="Microsoft YaHei" panose="020B0503020204020204" charset="-122"/>
          <a:sym typeface="Microsoft YaHei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Revision % per Account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DASHBOARD!$C$50</c:f>
              <c:strCache>
                <c:ptCount val="1"/>
                <c:pt idx="0">
                  <c:v>Rev %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40000"/>
                    <a:lumOff val="60000"/>
                  </a:schemeClr>
                </a:gs>
                <a:gs pos="90000">
                  <a:schemeClr val="accent6"/>
                </a:gs>
              </a:gsLst>
              <a:lin ang="10800000" scaled="0"/>
            </a:gradFill>
            <a:ln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DASHBOARD!$B$51:$B$65</c:f>
              <c:strCache>
                <c:ptCount val="15"/>
                <c:pt idx="0">
                  <c:v>Adam</c:v>
                </c:pt>
                <c:pt idx="1">
                  <c:v>Al-ameen</c:v>
                </c:pt>
                <c:pt idx="2">
                  <c:v>Chibueze</c:v>
                </c:pt>
                <c:pt idx="3">
                  <c:v>Dami</c:v>
                </c:pt>
                <c:pt idx="4">
                  <c:v>Femi</c:v>
                </c:pt>
                <c:pt idx="5">
                  <c:v>Goodluck</c:v>
                </c:pt>
                <c:pt idx="6">
                  <c:v>Iyiola</c:v>
                </c:pt>
                <c:pt idx="7">
                  <c:v>Jamiu</c:v>
                </c:pt>
                <c:pt idx="8">
                  <c:v>Lebari</c:v>
                </c:pt>
                <c:pt idx="9">
                  <c:v>Mariam</c:v>
                </c:pt>
                <c:pt idx="10">
                  <c:v>Opemipo</c:v>
                </c:pt>
                <c:pt idx="11">
                  <c:v>Oluwatobi</c:v>
                </c:pt>
                <c:pt idx="12">
                  <c:v>Seyi</c:v>
                </c:pt>
                <c:pt idx="13">
                  <c:v>Solomon</c:v>
                </c:pt>
                <c:pt idx="14">
                  <c:v>Somtochukwu</c:v>
                </c:pt>
              </c:strCache>
            </c:strRef>
          </c:cat>
          <c:val>
            <c:numRef>
              <c:f>DASHBOARD!$C$51:$C$65</c:f>
              <c:numCache>
                <c:formatCode>General</c:formatCode>
                <c:ptCount val="15"/>
                <c:pt idx="0">
                  <c:v>0.0714</c:v>
                </c:pt>
                <c:pt idx="1">
                  <c:v>0.2424</c:v>
                </c:pt>
                <c:pt idx="2">
                  <c:v>0</c:v>
                </c:pt>
                <c:pt idx="3">
                  <c:v>0.2292</c:v>
                </c:pt>
                <c:pt idx="4">
                  <c:v>0.2273</c:v>
                </c:pt>
                <c:pt idx="5">
                  <c:v>0.0435</c:v>
                </c:pt>
                <c:pt idx="6">
                  <c:v>0.0833</c:v>
                </c:pt>
                <c:pt idx="7">
                  <c:v>0.0938</c:v>
                </c:pt>
                <c:pt idx="8">
                  <c:v>0.1905</c:v>
                </c:pt>
                <c:pt idx="9">
                  <c:v>0.1538</c:v>
                </c:pt>
                <c:pt idx="10">
                  <c:v>0.1053</c:v>
                </c:pt>
                <c:pt idx="11">
                  <c:v>0.1905</c:v>
                </c:pt>
                <c:pt idx="12">
                  <c:v>0.3103</c:v>
                </c:pt>
                <c:pt idx="13">
                  <c:v>0.2759</c:v>
                </c:pt>
                <c:pt idx="14">
                  <c:v>0.05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0"/>
        <c:axId val="100"/>
      </c:barChart>
      <c:catAx>
        <c:axId val="1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cfa9c5e-729c-40ae-9671-3c18023d746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  <a:r>
              <a:t>Adam — New Cases vs Revisions by Date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Adam!$C$8</c:f>
              <c:strCache>
                <c:ptCount val="1"/>
                <c:pt idx="0">
                  <c:v>New Cases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Adam!$A$9:$A$13</c:f>
              <c:strCache>
                <c:ptCount val="5"/>
                <c:pt idx="0">
                  <c:v>05/15/2026</c:v>
                </c:pt>
                <c:pt idx="1">
                  <c:v>05/18/2026</c:v>
                </c:pt>
                <c:pt idx="2">
                  <c:v>05/19/2026</c:v>
                </c:pt>
                <c:pt idx="3">
                  <c:v>05/20/2026</c:v>
                </c:pt>
                <c:pt idx="4">
                  <c:v>05/21/2026</c:v>
                </c:pt>
              </c:strCache>
            </c:strRef>
          </c:cat>
          <c:val>
            <c:numRef>
              <c:f>Adam!$C$9:$C$13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Adam!$E$8</c:f>
              <c:strCache>
                <c:ptCount val="1"/>
                <c:pt idx="0">
                  <c:v>Revisions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Adam!$A$9:$A$13</c:f>
              <c:strCache>
                <c:ptCount val="5"/>
                <c:pt idx="0">
                  <c:v>05/15/2026</c:v>
                </c:pt>
                <c:pt idx="1">
                  <c:v>05/18/2026</c:v>
                </c:pt>
                <c:pt idx="2">
                  <c:v>05/19/2026</c:v>
                </c:pt>
                <c:pt idx="3">
                  <c:v>05/20/2026</c:v>
                </c:pt>
                <c:pt idx="4">
                  <c:v>05/21/2026</c:v>
                </c:pt>
              </c:strCache>
            </c:strRef>
          </c:cat>
          <c:val>
            <c:numRef>
              <c:f>Adam!$E$9:$E$13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charset="-122"/>
              <a:ea typeface="Microsoft YaHei" panose="020B0503020204020204" charset="-122"/>
              <a:cs typeface="Microsoft YaHei" panose="020B0503020204020204" charset="-122"/>
              <a:sym typeface="Microsoft YaHei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8240aa6-bba1-47ad-a84f-767b9bc30ba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0">
          <a:latin typeface="Microsoft YaHei" panose="020B0503020204020204" charset="-122"/>
          <a:ea typeface="Microsoft YaHei" panose="020B0503020204020204" charset="-122"/>
          <a:cs typeface="Microsoft YaHei" panose="020B0503020204020204" charset="-122"/>
          <a:sym typeface="Microsoft YaHei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  <a:r>
              <a:t>Al-ameen — New Cases vs Revisions by Date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'Al-ameen'!$C$8</c:f>
              <c:strCache>
                <c:ptCount val="1"/>
                <c:pt idx="0">
                  <c:v>New Cases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'Al-ameen'!$A$9:$A$13</c:f>
              <c:strCache>
                <c:ptCount val="5"/>
                <c:pt idx="0">
                  <c:v>05/15/2026</c:v>
                </c:pt>
                <c:pt idx="1">
                  <c:v>05/18/2026</c:v>
                </c:pt>
                <c:pt idx="2">
                  <c:v>05/19/2026</c:v>
                </c:pt>
                <c:pt idx="3">
                  <c:v>05/20/2026</c:v>
                </c:pt>
                <c:pt idx="4">
                  <c:v>05/21/2026</c:v>
                </c:pt>
              </c:strCache>
            </c:strRef>
          </c:cat>
          <c:val>
            <c:numRef>
              <c:f>'Al-ameen'!$C$9:$C$13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'Al-ameen'!$E$8</c:f>
              <c:strCache>
                <c:ptCount val="1"/>
                <c:pt idx="0">
                  <c:v>Revisions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'Al-ameen'!$A$9:$A$13</c:f>
              <c:strCache>
                <c:ptCount val="5"/>
                <c:pt idx="0">
                  <c:v>05/15/2026</c:v>
                </c:pt>
                <c:pt idx="1">
                  <c:v>05/18/2026</c:v>
                </c:pt>
                <c:pt idx="2">
                  <c:v>05/19/2026</c:v>
                </c:pt>
                <c:pt idx="3">
                  <c:v>05/20/2026</c:v>
                </c:pt>
                <c:pt idx="4">
                  <c:v>05/21/2026</c:v>
                </c:pt>
              </c:strCache>
            </c:strRef>
          </c:cat>
          <c:val>
            <c:numRef>
              <c:f>'Al-ameen'!$E$9:$E$13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charset="-122"/>
              <a:ea typeface="Microsoft YaHei" panose="020B0503020204020204" charset="-122"/>
              <a:cs typeface="Microsoft YaHei" panose="020B0503020204020204" charset="-122"/>
              <a:sym typeface="Microsoft YaHei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f179641-8d86-49c3-9d76-41a58bcb884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0">
          <a:latin typeface="Microsoft YaHei" panose="020B0503020204020204" charset="-122"/>
          <a:ea typeface="Microsoft YaHei" panose="020B0503020204020204" charset="-122"/>
          <a:cs typeface="Microsoft YaHei" panose="020B0503020204020204" charset="-122"/>
          <a:sym typeface="Microsoft YaHei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  <a:r>
              <a:t>Chibueze — New Cases vs Revisions by Date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Chibueze!$C$8</c:f>
              <c:strCache>
                <c:ptCount val="1"/>
                <c:pt idx="0">
                  <c:v>New Cases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Chibueze!$A$9:$A$13</c:f>
              <c:strCache>
                <c:ptCount val="5"/>
                <c:pt idx="0">
                  <c:v>05/15/2026</c:v>
                </c:pt>
                <c:pt idx="1">
                  <c:v>05/18/2026</c:v>
                </c:pt>
                <c:pt idx="2">
                  <c:v>05/19/2026</c:v>
                </c:pt>
                <c:pt idx="3">
                  <c:v>05/20/2026</c:v>
                </c:pt>
                <c:pt idx="4">
                  <c:v>05/21/2026</c:v>
                </c:pt>
              </c:strCache>
            </c:strRef>
          </c:cat>
          <c:val>
            <c:numRef>
              <c:f>Chibueze!$C$9:$C$13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Chibueze!$E$8</c:f>
              <c:strCache>
                <c:ptCount val="1"/>
                <c:pt idx="0">
                  <c:v>Revisions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Chibueze!$A$9:$A$13</c:f>
              <c:strCache>
                <c:ptCount val="5"/>
                <c:pt idx="0">
                  <c:v>05/15/2026</c:v>
                </c:pt>
                <c:pt idx="1">
                  <c:v>05/18/2026</c:v>
                </c:pt>
                <c:pt idx="2">
                  <c:v>05/19/2026</c:v>
                </c:pt>
                <c:pt idx="3">
                  <c:v>05/20/2026</c:v>
                </c:pt>
                <c:pt idx="4">
                  <c:v>05/21/2026</c:v>
                </c:pt>
              </c:strCache>
            </c:strRef>
          </c:cat>
          <c:val>
            <c:numRef>
              <c:f>Chibueze!$E$9:$E$13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charset="-122"/>
              <a:ea typeface="Microsoft YaHei" panose="020B0503020204020204" charset="-122"/>
              <a:cs typeface="Microsoft YaHei" panose="020B0503020204020204" charset="-122"/>
              <a:sym typeface="Microsoft YaHei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bce3ba8-f40a-4556-909b-06821a04a63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0">
          <a:latin typeface="Microsoft YaHei" panose="020B0503020204020204" charset="-122"/>
          <a:ea typeface="Microsoft YaHei" panose="020B0503020204020204" charset="-122"/>
          <a:cs typeface="Microsoft YaHei" panose="020B0503020204020204" charset="-122"/>
          <a:sym typeface="Microsoft YaHei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  <a:r>
              <a:t>Dami — New Cases vs Revisions by Date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Dami!$C$8</c:f>
              <c:strCache>
                <c:ptCount val="1"/>
                <c:pt idx="0">
                  <c:v>New Cases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Dami!$A$9:$A$13</c:f>
              <c:strCache>
                <c:ptCount val="5"/>
                <c:pt idx="0">
                  <c:v>05/15/2026</c:v>
                </c:pt>
                <c:pt idx="1">
                  <c:v>05/18/2026</c:v>
                </c:pt>
                <c:pt idx="2">
                  <c:v>05/19/2026</c:v>
                </c:pt>
                <c:pt idx="3">
                  <c:v>05/20/2026</c:v>
                </c:pt>
                <c:pt idx="4">
                  <c:v>05/21/2026</c:v>
                </c:pt>
              </c:strCache>
            </c:strRef>
          </c:cat>
          <c:val>
            <c:numRef>
              <c:f>Dami!$C$9:$C$13</c:f>
              <c:numCache>
                <c:formatCode>General</c:formatCode>
                <c:ptCount val="5"/>
                <c:pt idx="0">
                  <c:v>6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Dami!$E$8</c:f>
              <c:strCache>
                <c:ptCount val="1"/>
                <c:pt idx="0">
                  <c:v>Revisions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Dami!$A$9:$A$13</c:f>
              <c:strCache>
                <c:ptCount val="5"/>
                <c:pt idx="0">
                  <c:v>05/15/2026</c:v>
                </c:pt>
                <c:pt idx="1">
                  <c:v>05/18/2026</c:v>
                </c:pt>
                <c:pt idx="2">
                  <c:v>05/19/2026</c:v>
                </c:pt>
                <c:pt idx="3">
                  <c:v>05/20/2026</c:v>
                </c:pt>
                <c:pt idx="4">
                  <c:v>05/21/2026</c:v>
                </c:pt>
              </c:strCache>
            </c:strRef>
          </c:cat>
          <c:val>
            <c:numRef>
              <c:f>Dami!$E$9:$E$13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charset="-122"/>
              <a:ea typeface="Microsoft YaHei" panose="020B0503020204020204" charset="-122"/>
              <a:cs typeface="Microsoft YaHei" panose="020B0503020204020204" charset="-122"/>
              <a:sym typeface="Microsoft YaHei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afe888e-0cb5-4612-a6b1-f4832a94f3c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0">
          <a:latin typeface="Microsoft YaHei" panose="020B0503020204020204" charset="-122"/>
          <a:ea typeface="Microsoft YaHei" panose="020B0503020204020204" charset="-122"/>
          <a:cs typeface="Microsoft YaHei" panose="020B0503020204020204" charset="-122"/>
          <a:sym typeface="Microsoft YaHei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  <a:r>
              <a:t>Femi — New Cases vs Revisions by Date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Femi!$C$8</c:f>
              <c:strCache>
                <c:ptCount val="1"/>
                <c:pt idx="0">
                  <c:v>New Cases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Femi!$A$9:$A$13</c:f>
              <c:strCache>
                <c:ptCount val="5"/>
                <c:pt idx="0">
                  <c:v>05/15/2026</c:v>
                </c:pt>
                <c:pt idx="1">
                  <c:v>05/18/2026</c:v>
                </c:pt>
                <c:pt idx="2">
                  <c:v>05/19/2026</c:v>
                </c:pt>
                <c:pt idx="3">
                  <c:v>05/20/2026</c:v>
                </c:pt>
                <c:pt idx="4">
                  <c:v>05/21/2026</c:v>
                </c:pt>
              </c:strCache>
            </c:strRef>
          </c:cat>
          <c:val>
            <c:numRef>
              <c:f>Femi!$C$9:$C$13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Femi!$E$8</c:f>
              <c:strCache>
                <c:ptCount val="1"/>
                <c:pt idx="0">
                  <c:v>Revisions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Femi!$A$9:$A$13</c:f>
              <c:strCache>
                <c:ptCount val="5"/>
                <c:pt idx="0">
                  <c:v>05/15/2026</c:v>
                </c:pt>
                <c:pt idx="1">
                  <c:v>05/18/2026</c:v>
                </c:pt>
                <c:pt idx="2">
                  <c:v>05/19/2026</c:v>
                </c:pt>
                <c:pt idx="3">
                  <c:v>05/20/2026</c:v>
                </c:pt>
                <c:pt idx="4">
                  <c:v>05/21/2026</c:v>
                </c:pt>
              </c:strCache>
            </c:strRef>
          </c:cat>
          <c:val>
            <c:numRef>
              <c:f>Femi!$E$9:$E$13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charset="-122"/>
              <a:ea typeface="Microsoft YaHei" panose="020B0503020204020204" charset="-122"/>
              <a:cs typeface="Microsoft YaHei" panose="020B0503020204020204" charset="-122"/>
              <a:sym typeface="Microsoft YaHei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267db79-8385-4e71-831f-157e0754a49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0">
          <a:latin typeface="Microsoft YaHei" panose="020B0503020204020204" charset="-122"/>
          <a:ea typeface="Microsoft YaHei" panose="020B0503020204020204" charset="-122"/>
          <a:cs typeface="Microsoft YaHei" panose="020B0503020204020204" charset="-122"/>
          <a:sym typeface="Microsoft YaHei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  <a:r>
              <a:t>Goodluck — New Cases vs Revisions by Date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Goodluck!$C$8</c:f>
              <c:strCache>
                <c:ptCount val="1"/>
                <c:pt idx="0">
                  <c:v>New Cases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Goodluck!$A$9:$A$13</c:f>
              <c:strCache>
                <c:ptCount val="5"/>
                <c:pt idx="0">
                  <c:v>05/15/2026</c:v>
                </c:pt>
                <c:pt idx="1">
                  <c:v>05/18/2026</c:v>
                </c:pt>
                <c:pt idx="2">
                  <c:v>05/19/2026</c:v>
                </c:pt>
                <c:pt idx="3">
                  <c:v>05/20/2026</c:v>
                </c:pt>
                <c:pt idx="4">
                  <c:v>05/21/2026</c:v>
                </c:pt>
              </c:strCache>
            </c:strRef>
          </c:cat>
          <c:val>
            <c:numRef>
              <c:f>Goodluck!$C$9:$C$13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Goodluck!$E$8</c:f>
              <c:strCache>
                <c:ptCount val="1"/>
                <c:pt idx="0">
                  <c:v>Revisions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Goodluck!$A$9:$A$13</c:f>
              <c:strCache>
                <c:ptCount val="5"/>
                <c:pt idx="0">
                  <c:v>05/15/2026</c:v>
                </c:pt>
                <c:pt idx="1">
                  <c:v>05/18/2026</c:v>
                </c:pt>
                <c:pt idx="2">
                  <c:v>05/19/2026</c:v>
                </c:pt>
                <c:pt idx="3">
                  <c:v>05/20/2026</c:v>
                </c:pt>
                <c:pt idx="4">
                  <c:v>05/21/2026</c:v>
                </c:pt>
              </c:strCache>
            </c:strRef>
          </c:cat>
          <c:val>
            <c:numRef>
              <c:f>Goodluck!$E$9:$E$13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charset="-122"/>
              <a:ea typeface="Microsoft YaHei" panose="020B0503020204020204" charset="-122"/>
              <a:cs typeface="Microsoft YaHei" panose="020B0503020204020204" charset="-122"/>
              <a:sym typeface="Microsoft YaHei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7579945-0be1-401a-bcb3-429c5aade83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0">
          <a:latin typeface="Microsoft YaHei" panose="020B0503020204020204" charset="-122"/>
          <a:ea typeface="Microsoft YaHei" panose="020B0503020204020204" charset="-122"/>
          <a:cs typeface="Microsoft YaHei" panose="020B0503020204020204" charset="-122"/>
          <a:sym typeface="Microsoft YaHei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  <a:r>
              <a:t>Iyiola — New Cases vs Revisions by Date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Iyiola!$C$8</c:f>
              <c:strCache>
                <c:ptCount val="1"/>
                <c:pt idx="0">
                  <c:v>New Cases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Iyiola!$A$9:$A$13</c:f>
              <c:strCache>
                <c:ptCount val="5"/>
                <c:pt idx="0">
                  <c:v>05/15/2026</c:v>
                </c:pt>
                <c:pt idx="1">
                  <c:v>05/18/2026</c:v>
                </c:pt>
                <c:pt idx="2">
                  <c:v>05/19/2026</c:v>
                </c:pt>
                <c:pt idx="3">
                  <c:v>05/20/2026</c:v>
                </c:pt>
                <c:pt idx="4">
                  <c:v>05/21/2026</c:v>
                </c:pt>
              </c:strCache>
            </c:strRef>
          </c:cat>
          <c:val>
            <c:numRef>
              <c:f>Iyiola!$C$9:$C$13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Iyiola!$E$8</c:f>
              <c:strCache>
                <c:ptCount val="1"/>
                <c:pt idx="0">
                  <c:v>Revisions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Iyiola!$A$9:$A$13</c:f>
              <c:strCache>
                <c:ptCount val="5"/>
                <c:pt idx="0">
                  <c:v>05/15/2026</c:v>
                </c:pt>
                <c:pt idx="1">
                  <c:v>05/18/2026</c:v>
                </c:pt>
                <c:pt idx="2">
                  <c:v>05/19/2026</c:v>
                </c:pt>
                <c:pt idx="3">
                  <c:v>05/20/2026</c:v>
                </c:pt>
                <c:pt idx="4">
                  <c:v>05/21/2026</c:v>
                </c:pt>
              </c:strCache>
            </c:strRef>
          </c:cat>
          <c:val>
            <c:numRef>
              <c:f>Iyiola!$E$9:$E$13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charset="-122"/>
              <a:ea typeface="Microsoft YaHei" panose="020B0503020204020204" charset="-122"/>
              <a:cs typeface="Microsoft YaHei" panose="020B0503020204020204" charset="-122"/>
              <a:sym typeface="Microsoft YaHei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5de33f2-93cd-491d-82c2-34602d921c9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0">
          <a:latin typeface="Microsoft YaHei" panose="020B0503020204020204" charset="-122"/>
          <a:ea typeface="Microsoft YaHei" panose="020B0503020204020204" charset="-122"/>
          <a:cs typeface="Microsoft YaHei" panose="020B0503020204020204" charset="-122"/>
          <a:sym typeface="Microsoft YaHei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  <a:r>
              <a:t>Jamiu — New Cases vs Revisions by Date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Jamiu!$C$8</c:f>
              <c:strCache>
                <c:ptCount val="1"/>
                <c:pt idx="0">
                  <c:v>New Cases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Jamiu!$A$9:$A$13</c:f>
              <c:strCache>
                <c:ptCount val="5"/>
                <c:pt idx="0">
                  <c:v>05/15/2026</c:v>
                </c:pt>
                <c:pt idx="1">
                  <c:v>05/18/2026</c:v>
                </c:pt>
                <c:pt idx="2">
                  <c:v>05/19/2026</c:v>
                </c:pt>
                <c:pt idx="3">
                  <c:v>05/20/2026</c:v>
                </c:pt>
                <c:pt idx="4">
                  <c:v>05/21/2026</c:v>
                </c:pt>
              </c:strCache>
            </c:strRef>
          </c:cat>
          <c:val>
            <c:numRef>
              <c:f>Jamiu!$C$9:$C$13</c:f>
              <c:numCache>
                <c:formatCode>General</c:formatCode>
                <c:ptCount val="5"/>
                <c:pt idx="0">
                  <c:v>1</c:v>
                </c:pt>
                <c:pt idx="1">
                  <c:v>7</c:v>
                </c:pt>
                <c:pt idx="2">
                  <c:v>3</c:v>
                </c:pt>
                <c:pt idx="3">
                  <c:v>7</c:v>
                </c:pt>
                <c:pt idx="4">
                  <c:v>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Jamiu!$E$8</c:f>
              <c:strCache>
                <c:ptCount val="1"/>
                <c:pt idx="0">
                  <c:v>Revisions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Jamiu!$A$9:$A$13</c:f>
              <c:strCache>
                <c:ptCount val="5"/>
                <c:pt idx="0">
                  <c:v>05/15/2026</c:v>
                </c:pt>
                <c:pt idx="1">
                  <c:v>05/18/2026</c:v>
                </c:pt>
                <c:pt idx="2">
                  <c:v>05/19/2026</c:v>
                </c:pt>
                <c:pt idx="3">
                  <c:v>05/20/2026</c:v>
                </c:pt>
                <c:pt idx="4">
                  <c:v>05/21/2026</c:v>
                </c:pt>
              </c:strCache>
            </c:strRef>
          </c:cat>
          <c:val>
            <c:numRef>
              <c:f>Jamiu!$E$9:$E$13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charset="-122"/>
              <a:ea typeface="Microsoft YaHei" panose="020B0503020204020204" charset="-122"/>
              <a:cs typeface="Microsoft YaHei" panose="020B0503020204020204" charset="-122"/>
              <a:sym typeface="Microsoft YaHei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b5b641d-fade-4e9f-bc2e-21d8e6fa262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0">
          <a:latin typeface="Microsoft YaHei" panose="020B0503020204020204" charset="-122"/>
          <a:ea typeface="Microsoft YaHei" panose="020B0503020204020204" charset="-122"/>
          <a:cs typeface="Microsoft YaHei" panose="020B0503020204020204" charset="-122"/>
          <a:sym typeface="Microsoft YaHei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  <a:r>
              <a:t>Lebari — New Cases vs Revisions by Date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Lebari!$C$8</c:f>
              <c:strCache>
                <c:ptCount val="1"/>
                <c:pt idx="0">
                  <c:v>New Cases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Lebari!$A$9:$A$13</c:f>
              <c:strCache>
                <c:ptCount val="5"/>
                <c:pt idx="0">
                  <c:v>05/15/2026</c:v>
                </c:pt>
                <c:pt idx="1">
                  <c:v>05/18/2026</c:v>
                </c:pt>
                <c:pt idx="2">
                  <c:v>05/19/2026</c:v>
                </c:pt>
                <c:pt idx="3">
                  <c:v>05/20/2026</c:v>
                </c:pt>
                <c:pt idx="4">
                  <c:v>05/21/2026</c:v>
                </c:pt>
              </c:strCache>
            </c:strRef>
          </c:cat>
          <c:val>
            <c:numRef>
              <c:f>Lebari!$C$9:$C$13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Lebari!$E$8</c:f>
              <c:strCache>
                <c:ptCount val="1"/>
                <c:pt idx="0">
                  <c:v>Revisions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Lebari!$A$9:$A$13</c:f>
              <c:strCache>
                <c:ptCount val="5"/>
                <c:pt idx="0">
                  <c:v>05/15/2026</c:v>
                </c:pt>
                <c:pt idx="1">
                  <c:v>05/18/2026</c:v>
                </c:pt>
                <c:pt idx="2">
                  <c:v>05/19/2026</c:v>
                </c:pt>
                <c:pt idx="3">
                  <c:v>05/20/2026</c:v>
                </c:pt>
                <c:pt idx="4">
                  <c:v>05/21/2026</c:v>
                </c:pt>
              </c:strCache>
            </c:strRef>
          </c:cat>
          <c:val>
            <c:numRef>
              <c:f>Lebari!$E$9:$E$13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charset="-122"/>
              <a:ea typeface="Microsoft YaHei" panose="020B0503020204020204" charset="-122"/>
              <a:cs typeface="Microsoft YaHei" panose="020B0503020204020204" charset="-122"/>
              <a:sym typeface="Microsoft YaHei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be7c79f-eb2c-4384-9895-48553c6fc81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0">
          <a:latin typeface="Microsoft YaHei" panose="020B0503020204020204" charset="-122"/>
          <a:ea typeface="Microsoft YaHei" panose="020B0503020204020204" charset="-122"/>
          <a:cs typeface="Microsoft YaHei" panose="020B0503020204020204" charset="-122"/>
          <a:sym typeface="Microsoft YaHei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  <a:r>
              <a:t>Mariam — New Cases vs Revisions by Date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Mariam!$C$8</c:f>
              <c:strCache>
                <c:ptCount val="1"/>
                <c:pt idx="0">
                  <c:v>New Cases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Mariam!$A$9:$A$13</c:f>
              <c:strCache>
                <c:ptCount val="5"/>
                <c:pt idx="0">
                  <c:v>05/15/2026</c:v>
                </c:pt>
                <c:pt idx="1">
                  <c:v>05/18/2026</c:v>
                </c:pt>
                <c:pt idx="2">
                  <c:v>05/19/2026</c:v>
                </c:pt>
                <c:pt idx="3">
                  <c:v>05/20/2026</c:v>
                </c:pt>
                <c:pt idx="4">
                  <c:v>05/21/2026</c:v>
                </c:pt>
              </c:strCache>
            </c:strRef>
          </c:cat>
          <c:val>
            <c:numRef>
              <c:f>Mariam!$C$9:$C$13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Mariam!$E$8</c:f>
              <c:strCache>
                <c:ptCount val="1"/>
                <c:pt idx="0">
                  <c:v>Revisions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Mariam!$A$9:$A$13</c:f>
              <c:strCache>
                <c:ptCount val="5"/>
                <c:pt idx="0">
                  <c:v>05/15/2026</c:v>
                </c:pt>
                <c:pt idx="1">
                  <c:v>05/18/2026</c:v>
                </c:pt>
                <c:pt idx="2">
                  <c:v>05/19/2026</c:v>
                </c:pt>
                <c:pt idx="3">
                  <c:v>05/20/2026</c:v>
                </c:pt>
                <c:pt idx="4">
                  <c:v>05/21/2026</c:v>
                </c:pt>
              </c:strCache>
            </c:strRef>
          </c:cat>
          <c:val>
            <c:numRef>
              <c:f>Mariam!$E$9:$E$13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charset="-122"/>
              <a:ea typeface="Microsoft YaHei" panose="020B0503020204020204" charset="-122"/>
              <a:cs typeface="Microsoft YaHei" panose="020B0503020204020204" charset="-122"/>
              <a:sym typeface="Microsoft YaHei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c66d735-ed06-492c-ade9-c2f81ecac83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0">
          <a:latin typeface="Microsoft YaHei" panose="020B0503020204020204" charset="-122"/>
          <a:ea typeface="Microsoft YaHei" panose="020B0503020204020204" charset="-122"/>
          <a:cs typeface="Microsoft YaHei" panose="020B0503020204020204" charset="-122"/>
          <a:sym typeface="Microsoft YaHei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  <a:r>
              <a:t>Opemipo — New Cases vs Revisions by Date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Opemipo!$C$8</c:f>
              <c:strCache>
                <c:ptCount val="1"/>
                <c:pt idx="0">
                  <c:v>New Cases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Opemipo!$A$9:$A$13</c:f>
              <c:strCache>
                <c:ptCount val="5"/>
                <c:pt idx="0">
                  <c:v>05/15/2026</c:v>
                </c:pt>
                <c:pt idx="1">
                  <c:v>05/18/2026</c:v>
                </c:pt>
                <c:pt idx="2">
                  <c:v>05/19/2026</c:v>
                </c:pt>
                <c:pt idx="3">
                  <c:v>05/20/2026</c:v>
                </c:pt>
                <c:pt idx="4">
                  <c:v>05/21/2026</c:v>
                </c:pt>
              </c:strCache>
            </c:strRef>
          </c:cat>
          <c:val>
            <c:numRef>
              <c:f>Opemipo!$C$9:$C$13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1</c:v>
                </c:pt>
                <c:pt idx="4">
                  <c:v>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Opemipo!$E$8</c:f>
              <c:strCache>
                <c:ptCount val="1"/>
                <c:pt idx="0">
                  <c:v>Revisions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Opemipo!$A$9:$A$13</c:f>
              <c:strCache>
                <c:ptCount val="5"/>
                <c:pt idx="0">
                  <c:v>05/15/2026</c:v>
                </c:pt>
                <c:pt idx="1">
                  <c:v>05/18/2026</c:v>
                </c:pt>
                <c:pt idx="2">
                  <c:v>05/19/2026</c:v>
                </c:pt>
                <c:pt idx="3">
                  <c:v>05/20/2026</c:v>
                </c:pt>
                <c:pt idx="4">
                  <c:v>05/21/2026</c:v>
                </c:pt>
              </c:strCache>
            </c:strRef>
          </c:cat>
          <c:val>
            <c:numRef>
              <c:f>Opemipo!$E$9:$E$13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charset="-122"/>
              <a:ea typeface="Microsoft YaHei" panose="020B0503020204020204" charset="-122"/>
              <a:cs typeface="Microsoft YaHei" panose="020B0503020204020204" charset="-122"/>
              <a:sym typeface="Microsoft YaHei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ae10277-5b2e-4edc-aa06-cdcc5ae809b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0">
          <a:latin typeface="Microsoft YaHei" panose="020B0503020204020204" charset="-122"/>
          <a:ea typeface="Microsoft YaHei" panose="020B0503020204020204" charset="-122"/>
          <a:cs typeface="Microsoft YaHei" panose="020B0503020204020204" charset="-122"/>
          <a:sym typeface="Microsoft YaHei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  <a:r>
              <a:t>Oluwatobi — New Cases vs Revisions by Date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Oluwatobi!$C$8</c:f>
              <c:strCache>
                <c:ptCount val="1"/>
                <c:pt idx="0">
                  <c:v>New Cases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Oluwatobi!$A$9:$A$13</c:f>
              <c:strCache>
                <c:ptCount val="5"/>
                <c:pt idx="0">
                  <c:v>05/15/2026</c:v>
                </c:pt>
                <c:pt idx="1">
                  <c:v>05/18/2026</c:v>
                </c:pt>
                <c:pt idx="2">
                  <c:v>05/19/2026</c:v>
                </c:pt>
                <c:pt idx="3">
                  <c:v>05/20/2026</c:v>
                </c:pt>
                <c:pt idx="4">
                  <c:v>05/21/2026</c:v>
                </c:pt>
              </c:strCache>
            </c:strRef>
          </c:cat>
          <c:val>
            <c:numRef>
              <c:f>Oluwatobi!$C$9:$C$13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Oluwatobi!$E$8</c:f>
              <c:strCache>
                <c:ptCount val="1"/>
                <c:pt idx="0">
                  <c:v>Revisions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Oluwatobi!$A$9:$A$13</c:f>
              <c:strCache>
                <c:ptCount val="5"/>
                <c:pt idx="0">
                  <c:v>05/15/2026</c:v>
                </c:pt>
                <c:pt idx="1">
                  <c:v>05/18/2026</c:v>
                </c:pt>
                <c:pt idx="2">
                  <c:v>05/19/2026</c:v>
                </c:pt>
                <c:pt idx="3">
                  <c:v>05/20/2026</c:v>
                </c:pt>
                <c:pt idx="4">
                  <c:v>05/21/2026</c:v>
                </c:pt>
              </c:strCache>
            </c:strRef>
          </c:cat>
          <c:val>
            <c:numRef>
              <c:f>Oluwatobi!$E$9:$E$13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charset="-122"/>
              <a:ea typeface="Microsoft YaHei" panose="020B0503020204020204" charset="-122"/>
              <a:cs typeface="Microsoft YaHei" panose="020B0503020204020204" charset="-122"/>
              <a:sym typeface="Microsoft YaHei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07a20a9-f5bc-4b9f-99d3-3d42bdc66c5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0">
          <a:latin typeface="Microsoft YaHei" panose="020B0503020204020204" charset="-122"/>
          <a:ea typeface="Microsoft YaHei" panose="020B0503020204020204" charset="-122"/>
          <a:cs typeface="Microsoft YaHei" panose="020B0503020204020204" charset="-122"/>
          <a:sym typeface="Microsoft YaHei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  <a:r>
              <a:t>Seyi — New Cases vs Revisions by Date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Seyi!$C$8</c:f>
              <c:strCache>
                <c:ptCount val="1"/>
                <c:pt idx="0">
                  <c:v>New Cases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Seyi!$A$9:$A$13</c:f>
              <c:strCache>
                <c:ptCount val="5"/>
                <c:pt idx="0">
                  <c:v>05/15/2026</c:v>
                </c:pt>
                <c:pt idx="1">
                  <c:v>05/18/2026</c:v>
                </c:pt>
                <c:pt idx="2">
                  <c:v>05/19/2026</c:v>
                </c:pt>
                <c:pt idx="3">
                  <c:v>05/20/2026</c:v>
                </c:pt>
                <c:pt idx="4">
                  <c:v>05/21/2026</c:v>
                </c:pt>
              </c:strCache>
            </c:strRef>
          </c:cat>
          <c:val>
            <c:numRef>
              <c:f>Seyi!$C$9:$C$13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3</c:v>
                </c:pt>
                <c:pt idx="3">
                  <c:v>5</c:v>
                </c:pt>
                <c:pt idx="4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Seyi!$E$8</c:f>
              <c:strCache>
                <c:ptCount val="1"/>
                <c:pt idx="0">
                  <c:v>Revisions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Seyi!$A$9:$A$13</c:f>
              <c:strCache>
                <c:ptCount val="5"/>
                <c:pt idx="0">
                  <c:v>05/15/2026</c:v>
                </c:pt>
                <c:pt idx="1">
                  <c:v>05/18/2026</c:v>
                </c:pt>
                <c:pt idx="2">
                  <c:v>05/19/2026</c:v>
                </c:pt>
                <c:pt idx="3">
                  <c:v>05/20/2026</c:v>
                </c:pt>
                <c:pt idx="4">
                  <c:v>05/21/2026</c:v>
                </c:pt>
              </c:strCache>
            </c:strRef>
          </c:cat>
          <c:val>
            <c:numRef>
              <c:f>Seyi!$E$9:$E$13</c:f>
              <c:numCache>
                <c:formatCode>General</c:formatCode>
                <c:ptCount val="5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charset="-122"/>
              <a:ea typeface="Microsoft YaHei" panose="020B0503020204020204" charset="-122"/>
              <a:cs typeface="Microsoft YaHei" panose="020B0503020204020204" charset="-122"/>
              <a:sym typeface="Microsoft YaHei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0424441-a613-474d-bd74-64331110633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0">
          <a:latin typeface="Microsoft YaHei" panose="020B0503020204020204" charset="-122"/>
          <a:ea typeface="Microsoft YaHei" panose="020B0503020204020204" charset="-122"/>
          <a:cs typeface="Microsoft YaHei" panose="020B0503020204020204" charset="-122"/>
          <a:sym typeface="Microsoft YaHei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  <a:r>
              <a:t>Solomon — New Cases vs Revisions by Date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Solomon!$C$8</c:f>
              <c:strCache>
                <c:ptCount val="1"/>
                <c:pt idx="0">
                  <c:v>New Cases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Solomon!$A$9:$A$13</c:f>
              <c:strCache>
                <c:ptCount val="5"/>
                <c:pt idx="0">
                  <c:v>05/15/2026</c:v>
                </c:pt>
                <c:pt idx="1">
                  <c:v>05/18/2026</c:v>
                </c:pt>
                <c:pt idx="2">
                  <c:v>05/19/2026</c:v>
                </c:pt>
                <c:pt idx="3">
                  <c:v>05/20/2026</c:v>
                </c:pt>
                <c:pt idx="4">
                  <c:v>05/21/2026</c:v>
                </c:pt>
              </c:strCache>
            </c:strRef>
          </c:cat>
          <c:val>
            <c:numRef>
              <c:f>Solomon!$C$9:$C$13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Solomon!$E$8</c:f>
              <c:strCache>
                <c:ptCount val="1"/>
                <c:pt idx="0">
                  <c:v>Revisions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Solomon!$A$9:$A$13</c:f>
              <c:strCache>
                <c:ptCount val="5"/>
                <c:pt idx="0">
                  <c:v>05/15/2026</c:v>
                </c:pt>
                <c:pt idx="1">
                  <c:v>05/18/2026</c:v>
                </c:pt>
                <c:pt idx="2">
                  <c:v>05/19/2026</c:v>
                </c:pt>
                <c:pt idx="3">
                  <c:v>05/20/2026</c:v>
                </c:pt>
                <c:pt idx="4">
                  <c:v>05/21/2026</c:v>
                </c:pt>
              </c:strCache>
            </c:strRef>
          </c:cat>
          <c:val>
            <c:numRef>
              <c:f>Solomon!$E$9:$E$13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charset="-122"/>
              <a:ea typeface="Microsoft YaHei" panose="020B0503020204020204" charset="-122"/>
              <a:cs typeface="Microsoft YaHei" panose="020B0503020204020204" charset="-122"/>
              <a:sym typeface="Microsoft YaHei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8bea147-3f36-4567-bc5c-90b28484391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0">
          <a:latin typeface="Microsoft YaHei" panose="020B0503020204020204" charset="-122"/>
          <a:ea typeface="Microsoft YaHei" panose="020B0503020204020204" charset="-122"/>
          <a:cs typeface="Microsoft YaHei" panose="020B0503020204020204" charset="-122"/>
          <a:sym typeface="Microsoft YaHei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  <a:r>
              <a:t>Somtochukwu — New Cases vs Revisions by Date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Somtochukwu!$C$8</c:f>
              <c:strCache>
                <c:ptCount val="1"/>
                <c:pt idx="0">
                  <c:v>New Cases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Somtochukwu!$A$9:$A$13</c:f>
              <c:strCache>
                <c:ptCount val="5"/>
                <c:pt idx="0">
                  <c:v>05/15/2026</c:v>
                </c:pt>
                <c:pt idx="1">
                  <c:v>05/18/2026</c:v>
                </c:pt>
                <c:pt idx="2">
                  <c:v>05/19/2026</c:v>
                </c:pt>
                <c:pt idx="3">
                  <c:v>05/20/2026</c:v>
                </c:pt>
                <c:pt idx="4">
                  <c:v>05/21/2026</c:v>
                </c:pt>
              </c:strCache>
            </c:strRef>
          </c:cat>
          <c:val>
            <c:numRef>
              <c:f>Somtochukwu!$C$9:$C$13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  <c:pt idx="4">
                  <c:v>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Somtochukwu!$E$8</c:f>
              <c:strCache>
                <c:ptCount val="1"/>
                <c:pt idx="0">
                  <c:v>Revisions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Somtochukwu!$A$9:$A$13</c:f>
              <c:strCache>
                <c:ptCount val="5"/>
                <c:pt idx="0">
                  <c:v>05/15/2026</c:v>
                </c:pt>
                <c:pt idx="1">
                  <c:v>05/18/2026</c:v>
                </c:pt>
                <c:pt idx="2">
                  <c:v>05/19/2026</c:v>
                </c:pt>
                <c:pt idx="3">
                  <c:v>05/20/2026</c:v>
                </c:pt>
                <c:pt idx="4">
                  <c:v>05/21/2026</c:v>
                </c:pt>
              </c:strCache>
            </c:strRef>
          </c:cat>
          <c:val>
            <c:numRef>
              <c:f>Somtochukwu!$E$9:$E$13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charset="-122"/>
              <a:ea typeface="Microsoft YaHei" panose="020B0503020204020204" charset="-122"/>
              <a:cs typeface="Microsoft YaHei" panose="020B0503020204020204" charset="-122"/>
              <a:sym typeface="Microsoft YaHei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d7245f8-2f0b-438e-b3bb-8ce15536cbf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0">
          <a:latin typeface="Microsoft YaHei" panose="020B0503020204020204" charset="-122"/>
          <a:ea typeface="Microsoft YaHei" panose="020B0503020204020204" charset="-122"/>
          <a:cs typeface="Microsoft YaHei" panose="020B0503020204020204" charset="-122"/>
          <a:sym typeface="Microsoft YaHei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27</xdr:row>
      <xdr:rowOff>0</xdr:rowOff>
    </xdr:from>
    <xdr:ext cx="6480000" cy="4841880"/>
    <xdr:graphicFrame>
      <xdr:nvGraphicFramePr>
        <xdr:cNvPr id="2" name="Chart 1" descr="7b0a202020202263686172745265734964223a20223230343731343133220a7d0a"/>
        <xdr:cNvGraphicFramePr/>
      </xdr:nvGraphicFramePr>
      <xdr:xfrm>
        <a:off x="144780" y="6817360"/>
        <a:ext cx="6479540" cy="4841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49</xdr:row>
      <xdr:rowOff>0</xdr:rowOff>
    </xdr:from>
    <xdr:ext cx="6480000" cy="4152360"/>
    <xdr:graphicFrame>
      <xdr:nvGraphicFramePr>
        <xdr:cNvPr id="4" name="Chart 3"/>
        <xdr:cNvGraphicFramePr/>
      </xdr:nvGraphicFramePr>
      <xdr:xfrm>
        <a:off x="144780" y="10840720"/>
        <a:ext cx="6479540" cy="4152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15</xdr:row>
      <xdr:rowOff>0</xdr:rowOff>
    </xdr:from>
    <xdr:ext cx="7920000" cy="4497120"/>
    <xdr:graphicFrame>
      <xdr:nvGraphicFramePr>
        <xdr:cNvPr id="2" name="Chart 1" descr="7b0a202020202263686172745265734964223a20223230343731343133220a7d0a"/>
        <xdr:cNvGraphicFramePr/>
      </xdr:nvGraphicFramePr>
      <xdr:xfrm>
        <a:off x="0" y="3747770"/>
        <a:ext cx="7919720" cy="44970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15</xdr:row>
      <xdr:rowOff>0</xdr:rowOff>
    </xdr:from>
    <xdr:ext cx="7920000" cy="4497120"/>
    <xdr:graphicFrame>
      <xdr:nvGraphicFramePr>
        <xdr:cNvPr id="2" name="Chart 1" descr="7b0a202020202263686172745265734964223a20223230343731343133220a7d0a"/>
        <xdr:cNvGraphicFramePr/>
      </xdr:nvGraphicFramePr>
      <xdr:xfrm>
        <a:off x="0" y="3747770"/>
        <a:ext cx="7919720" cy="44970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15</xdr:row>
      <xdr:rowOff>0</xdr:rowOff>
    </xdr:from>
    <xdr:ext cx="7920000" cy="4497120"/>
    <xdr:graphicFrame>
      <xdr:nvGraphicFramePr>
        <xdr:cNvPr id="2" name="Chart 1" descr="7b0a202020202263686172745265734964223a20223230343731343133220a7d0a"/>
        <xdr:cNvGraphicFramePr/>
      </xdr:nvGraphicFramePr>
      <xdr:xfrm>
        <a:off x="0" y="3747770"/>
        <a:ext cx="7919720" cy="44970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15</xdr:row>
      <xdr:rowOff>0</xdr:rowOff>
    </xdr:from>
    <xdr:ext cx="7920000" cy="4497120"/>
    <xdr:graphicFrame>
      <xdr:nvGraphicFramePr>
        <xdr:cNvPr id="2" name="Chart 1" descr="7b0a202020202263686172745265734964223a20223230343731343133220a7d0a"/>
        <xdr:cNvGraphicFramePr/>
      </xdr:nvGraphicFramePr>
      <xdr:xfrm>
        <a:off x="0" y="3747770"/>
        <a:ext cx="7919720" cy="44970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15</xdr:row>
      <xdr:rowOff>0</xdr:rowOff>
    </xdr:from>
    <xdr:ext cx="7920000" cy="4497120"/>
    <xdr:graphicFrame>
      <xdr:nvGraphicFramePr>
        <xdr:cNvPr id="2" name="Chart 1" descr="7b0a202020202263686172745265734964223a20223230343731343133220a7d0a"/>
        <xdr:cNvGraphicFramePr/>
      </xdr:nvGraphicFramePr>
      <xdr:xfrm>
        <a:off x="0" y="3747770"/>
        <a:ext cx="7919720" cy="44970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15</xdr:row>
      <xdr:rowOff>0</xdr:rowOff>
    </xdr:from>
    <xdr:ext cx="7920000" cy="4497120"/>
    <xdr:graphicFrame>
      <xdr:nvGraphicFramePr>
        <xdr:cNvPr id="2" name="Chart 1" descr="7b0a202020202263686172745265734964223a20223230343731343133220a7d0a"/>
        <xdr:cNvGraphicFramePr/>
      </xdr:nvGraphicFramePr>
      <xdr:xfrm>
        <a:off x="0" y="3747770"/>
        <a:ext cx="7919720" cy="44970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15</xdr:row>
      <xdr:rowOff>0</xdr:rowOff>
    </xdr:from>
    <xdr:ext cx="7920000" cy="4497120"/>
    <xdr:graphicFrame>
      <xdr:nvGraphicFramePr>
        <xdr:cNvPr id="2" name="Chart 1" descr="7b0a202020202263686172745265734964223a20223230343731343133220a7d0a"/>
        <xdr:cNvGraphicFramePr/>
      </xdr:nvGraphicFramePr>
      <xdr:xfrm>
        <a:off x="0" y="3747770"/>
        <a:ext cx="7919720" cy="44970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15</xdr:row>
      <xdr:rowOff>0</xdr:rowOff>
    </xdr:from>
    <xdr:ext cx="7920000" cy="4497120"/>
    <xdr:graphicFrame>
      <xdr:nvGraphicFramePr>
        <xdr:cNvPr id="2" name="Chart 1" descr="7b0a202020202263686172745265734964223a20223230343731343133220a7d0a"/>
        <xdr:cNvGraphicFramePr/>
      </xdr:nvGraphicFramePr>
      <xdr:xfrm>
        <a:off x="0" y="3747770"/>
        <a:ext cx="7919720" cy="44970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15</xdr:row>
      <xdr:rowOff>0</xdr:rowOff>
    </xdr:from>
    <xdr:ext cx="7920000" cy="4497120"/>
    <xdr:graphicFrame>
      <xdr:nvGraphicFramePr>
        <xdr:cNvPr id="2" name="Chart 1" descr="7b0a202020202263686172745265734964223a20223230343731343133220a7d0a"/>
        <xdr:cNvGraphicFramePr/>
      </xdr:nvGraphicFramePr>
      <xdr:xfrm>
        <a:off x="0" y="3747770"/>
        <a:ext cx="7919720" cy="44970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15</xdr:row>
      <xdr:rowOff>0</xdr:rowOff>
    </xdr:from>
    <xdr:ext cx="7920000" cy="4497120"/>
    <xdr:graphicFrame>
      <xdr:nvGraphicFramePr>
        <xdr:cNvPr id="2" name="Chart 1" descr="7b0a202020202263686172745265734964223a20223230343731343133220a7d0a"/>
        <xdr:cNvGraphicFramePr/>
      </xdr:nvGraphicFramePr>
      <xdr:xfrm>
        <a:off x="0" y="3747770"/>
        <a:ext cx="7919720" cy="44970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15</xdr:row>
      <xdr:rowOff>0</xdr:rowOff>
    </xdr:from>
    <xdr:ext cx="7920000" cy="4497120"/>
    <xdr:graphicFrame>
      <xdr:nvGraphicFramePr>
        <xdr:cNvPr id="2" name="Chart 1" descr="7b0a202020202263686172745265734964223a20223230343731343133220a7d0a"/>
        <xdr:cNvGraphicFramePr/>
      </xdr:nvGraphicFramePr>
      <xdr:xfrm>
        <a:off x="0" y="3747770"/>
        <a:ext cx="7919720" cy="44970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15</xdr:row>
      <xdr:rowOff>0</xdr:rowOff>
    </xdr:from>
    <xdr:ext cx="7920000" cy="4497120"/>
    <xdr:graphicFrame>
      <xdr:nvGraphicFramePr>
        <xdr:cNvPr id="2" name="Chart 1" descr="7b0a202020202263686172745265734964223a20223230343731343133220a7d0a"/>
        <xdr:cNvGraphicFramePr/>
      </xdr:nvGraphicFramePr>
      <xdr:xfrm>
        <a:off x="0" y="3747770"/>
        <a:ext cx="7919720" cy="44970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15</xdr:row>
      <xdr:rowOff>0</xdr:rowOff>
    </xdr:from>
    <xdr:ext cx="7920000" cy="4497120"/>
    <xdr:graphicFrame>
      <xdr:nvGraphicFramePr>
        <xdr:cNvPr id="2" name="Chart 1" descr="7b0a202020202263686172745265734964223a20223230343731343133220a7d0a"/>
        <xdr:cNvGraphicFramePr/>
      </xdr:nvGraphicFramePr>
      <xdr:xfrm>
        <a:off x="0" y="3747770"/>
        <a:ext cx="7919720" cy="44970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15</xdr:row>
      <xdr:rowOff>0</xdr:rowOff>
    </xdr:from>
    <xdr:ext cx="7920000" cy="4497120"/>
    <xdr:graphicFrame>
      <xdr:nvGraphicFramePr>
        <xdr:cNvPr id="2" name="Chart 1" descr="7b0a202020202263686172745265734964223a20223230343731343133220a7d0a"/>
        <xdr:cNvGraphicFramePr/>
      </xdr:nvGraphicFramePr>
      <xdr:xfrm>
        <a:off x="0" y="3747770"/>
        <a:ext cx="7919720" cy="44970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15</xdr:row>
      <xdr:rowOff>0</xdr:rowOff>
    </xdr:from>
    <xdr:ext cx="7920000" cy="4497120"/>
    <xdr:graphicFrame>
      <xdr:nvGraphicFramePr>
        <xdr:cNvPr id="2" name="Chart 1" descr="7b0a202020202263686172745265734964223a20223230343731343133220a7d0a"/>
        <xdr:cNvGraphicFramePr/>
      </xdr:nvGraphicFramePr>
      <xdr:xfrm>
        <a:off x="0" y="3747770"/>
        <a:ext cx="7919720" cy="44970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3864"/>
  </sheetPr>
  <dimension ref="B1:T65"/>
  <sheetViews>
    <sheetView showGridLines="0" showRowColHeaders="0" zoomScale="55" zoomScaleNormal="55" workbookViewId="0">
      <pane xSplit="1" ySplit="9" topLeftCell="B26" activePane="bottomRight" state="frozen"/>
      <selection/>
      <selection pane="topRight"/>
      <selection pane="bottomLeft"/>
      <selection pane="bottomRight" activeCell="R61" sqref="R61"/>
    </sheetView>
  </sheetViews>
  <sheetFormatPr defaultColWidth="9" defaultRowHeight="14.4"/>
  <cols>
    <col min="1" max="1" width="2" customWidth="1"/>
    <col min="2" max="2" width="16" customWidth="1"/>
    <col min="3" max="16" width="11" customWidth="1"/>
    <col min="17" max="17" width="2" customWidth="1"/>
    <col min="18" max="18" width="16" customWidth="1"/>
    <col min="19" max="20" width="12" customWidth="1"/>
  </cols>
  <sheetData>
    <row r="1" ht="8" customHeight="1"/>
    <row r="2" ht="42" customHeight="1" spans="2:20">
      <c r="B2" s="31" t="s">
        <v>0</v>
      </c>
    </row>
    <row r="3" ht="6" customHeight="1"/>
    <row r="4" ht="22" customHeight="1" spans="2:20">
      <c r="B4" s="32" t="s">
        <v>1</v>
      </c>
      <c r="C4" s="11"/>
      <c r="D4" s="32" t="s">
        <v>2</v>
      </c>
      <c r="E4" s="11"/>
      <c r="F4" s="32" t="s">
        <v>3</v>
      </c>
      <c r="G4" s="11"/>
      <c r="H4" s="32" t="s">
        <v>4</v>
      </c>
      <c r="I4" s="11"/>
      <c r="J4" s="32" t="s">
        <v>5</v>
      </c>
      <c r="K4" s="11"/>
      <c r="L4" s="32" t="s">
        <v>6</v>
      </c>
      <c r="M4" s="11"/>
    </row>
    <row r="5" ht="28" customHeight="1" spans="2:20">
      <c r="B5" s="33">
        <v>357</v>
      </c>
      <c r="C5" s="34"/>
      <c r="D5" s="35">
        <v>234</v>
      </c>
      <c r="E5" s="34"/>
      <c r="F5" s="36">
        <v>62</v>
      </c>
      <c r="G5" s="34"/>
      <c r="H5" s="37" t="s">
        <v>7</v>
      </c>
      <c r="I5" s="34"/>
      <c r="J5" s="38" t="s">
        <v>8</v>
      </c>
      <c r="K5" s="34"/>
      <c r="L5" s="39" t="s">
        <v>9</v>
      </c>
      <c r="M5" s="34"/>
    </row>
    <row r="6" ht="10" customHeight="1"/>
    <row r="7" ht="10" customHeight="1"/>
    <row r="8" ht="26" customHeight="1" spans="2:20">
      <c r="B8" s="40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1"/>
      <c r="R8" s="40" t="s">
        <v>11</v>
      </c>
      <c r="S8" s="10"/>
      <c r="T8" s="11"/>
    </row>
    <row r="9" ht="34" customHeight="1" spans="2:20">
      <c r="B9" s="41" t="s">
        <v>12</v>
      </c>
      <c r="C9" s="42" t="s">
        <v>13</v>
      </c>
      <c r="D9" s="42" t="s">
        <v>14</v>
      </c>
      <c r="E9" s="42" t="s">
        <v>15</v>
      </c>
      <c r="F9" s="42" t="s">
        <v>16</v>
      </c>
      <c r="G9" s="42" t="s">
        <v>17</v>
      </c>
      <c r="H9" s="42" t="s">
        <v>18</v>
      </c>
      <c r="I9" s="42" t="s">
        <v>19</v>
      </c>
      <c r="J9" s="42" t="s">
        <v>20</v>
      </c>
      <c r="K9" s="42" t="s">
        <v>21</v>
      </c>
      <c r="L9" s="42" t="s">
        <v>22</v>
      </c>
      <c r="M9" s="42" t="s">
        <v>23</v>
      </c>
      <c r="N9" s="42" t="s">
        <v>24</v>
      </c>
      <c r="O9" s="42" t="s">
        <v>25</v>
      </c>
      <c r="P9" s="43" t="s">
        <v>26</v>
      </c>
      <c r="R9" s="41" t="s">
        <v>12</v>
      </c>
      <c r="S9" s="42" t="s">
        <v>27</v>
      </c>
      <c r="T9" s="43" t="s">
        <v>17</v>
      </c>
    </row>
    <row r="10" ht="20" customHeight="1" spans="2:20">
      <c r="B10" s="44" t="s">
        <v>28</v>
      </c>
      <c r="C10" s="45">
        <v>14</v>
      </c>
      <c r="D10" s="45">
        <v>8</v>
      </c>
      <c r="E10" s="46">
        <v>0.5714</v>
      </c>
      <c r="F10" s="45">
        <v>1</v>
      </c>
      <c r="G10" s="46">
        <v>0.0714</v>
      </c>
      <c r="H10" s="45">
        <v>4</v>
      </c>
      <c r="I10" s="45">
        <v>0</v>
      </c>
      <c r="J10" s="47">
        <v>2.8</v>
      </c>
      <c r="K10" s="47">
        <v>0.2</v>
      </c>
      <c r="L10" s="45">
        <v>1</v>
      </c>
      <c r="M10" s="45">
        <v>1</v>
      </c>
      <c r="N10" s="45">
        <v>2</v>
      </c>
      <c r="O10" s="45">
        <v>1</v>
      </c>
      <c r="P10" s="48">
        <v>3</v>
      </c>
      <c r="R10" s="49" t="s">
        <v>29</v>
      </c>
      <c r="S10" s="50">
        <v>48</v>
      </c>
      <c r="T10" s="51">
        <v>0.2292</v>
      </c>
    </row>
    <row r="11" ht="20" customHeight="1" spans="2:20">
      <c r="B11" s="52" t="s">
        <v>30</v>
      </c>
      <c r="C11" s="53">
        <v>33</v>
      </c>
      <c r="D11" s="53">
        <v>23</v>
      </c>
      <c r="E11" s="54">
        <v>0.697</v>
      </c>
      <c r="F11" s="53">
        <v>8</v>
      </c>
      <c r="G11" s="54">
        <v>0.2424</v>
      </c>
      <c r="H11" s="53">
        <v>2</v>
      </c>
      <c r="I11" s="53">
        <v>0</v>
      </c>
      <c r="J11" s="55">
        <v>6.6</v>
      </c>
      <c r="K11" s="55">
        <v>1.6</v>
      </c>
      <c r="L11" s="53">
        <v>1</v>
      </c>
      <c r="M11" s="53">
        <v>5</v>
      </c>
      <c r="N11" s="53">
        <v>6</v>
      </c>
      <c r="O11" s="53">
        <v>5</v>
      </c>
      <c r="P11" s="56">
        <v>6</v>
      </c>
      <c r="R11" s="57" t="s">
        <v>31</v>
      </c>
      <c r="S11" s="58">
        <v>33</v>
      </c>
      <c r="T11" s="59">
        <v>0.2424</v>
      </c>
    </row>
    <row r="12" ht="20" customHeight="1" spans="2:20">
      <c r="B12" s="44" t="s">
        <v>9</v>
      </c>
      <c r="C12" s="45">
        <v>8</v>
      </c>
      <c r="D12" s="45">
        <v>4</v>
      </c>
      <c r="E12" s="46">
        <v>0.5</v>
      </c>
      <c r="F12" s="45">
        <v>0</v>
      </c>
      <c r="G12" s="46">
        <v>0</v>
      </c>
      <c r="H12" s="45">
        <v>4</v>
      </c>
      <c r="I12" s="45">
        <v>0</v>
      </c>
      <c r="J12" s="47">
        <v>2</v>
      </c>
      <c r="K12" s="47">
        <v>0</v>
      </c>
      <c r="L12" s="45">
        <v>0</v>
      </c>
      <c r="M12" s="45">
        <v>1</v>
      </c>
      <c r="N12" s="45">
        <v>1</v>
      </c>
      <c r="O12" s="45">
        <v>1</v>
      </c>
      <c r="P12" s="48">
        <v>1</v>
      </c>
      <c r="R12" s="60" t="s">
        <v>32</v>
      </c>
      <c r="S12" s="61">
        <v>32</v>
      </c>
      <c r="T12" s="62">
        <v>0.0938</v>
      </c>
    </row>
    <row r="13" ht="20" customHeight="1" spans="2:20">
      <c r="B13" s="52" t="s">
        <v>8</v>
      </c>
      <c r="C13" s="53">
        <v>48</v>
      </c>
      <c r="D13" s="53">
        <v>25</v>
      </c>
      <c r="E13" s="54">
        <v>0.5208</v>
      </c>
      <c r="F13" s="53">
        <v>11</v>
      </c>
      <c r="G13" s="54">
        <v>0.2292</v>
      </c>
      <c r="H13" s="53">
        <v>3</v>
      </c>
      <c r="I13" s="53">
        <v>9</v>
      </c>
      <c r="J13" s="55">
        <v>9.6</v>
      </c>
      <c r="K13" s="55">
        <v>2.2</v>
      </c>
      <c r="L13" s="53">
        <v>6</v>
      </c>
      <c r="M13" s="53">
        <v>2</v>
      </c>
      <c r="N13" s="53">
        <v>5</v>
      </c>
      <c r="O13" s="53">
        <v>7</v>
      </c>
      <c r="P13" s="56">
        <v>5</v>
      </c>
      <c r="R13" s="63" t="s">
        <v>33</v>
      </c>
      <c r="S13" s="16">
        <v>29</v>
      </c>
      <c r="T13" s="64">
        <v>0.3103</v>
      </c>
    </row>
    <row r="14" ht="20" customHeight="1" spans="2:20">
      <c r="B14" s="44" t="s">
        <v>34</v>
      </c>
      <c r="C14" s="45">
        <v>22</v>
      </c>
      <c r="D14" s="45">
        <v>15</v>
      </c>
      <c r="E14" s="46">
        <v>0.6818</v>
      </c>
      <c r="F14" s="45">
        <v>5</v>
      </c>
      <c r="G14" s="46">
        <v>0.2273</v>
      </c>
      <c r="H14" s="45">
        <v>1</v>
      </c>
      <c r="I14" s="45">
        <v>0</v>
      </c>
      <c r="J14" s="47">
        <v>4.4</v>
      </c>
      <c r="K14" s="47">
        <v>1</v>
      </c>
      <c r="L14" s="45">
        <v>0</v>
      </c>
      <c r="M14" s="45">
        <v>4</v>
      </c>
      <c r="N14" s="45">
        <v>4</v>
      </c>
      <c r="O14" s="45">
        <v>4</v>
      </c>
      <c r="P14" s="48">
        <v>3</v>
      </c>
      <c r="R14" s="65" t="s">
        <v>35</v>
      </c>
      <c r="S14" s="21">
        <v>29</v>
      </c>
      <c r="T14" s="66">
        <v>0.2759</v>
      </c>
    </row>
    <row r="15" ht="20" customHeight="1" spans="2:20">
      <c r="B15" s="52" t="s">
        <v>36</v>
      </c>
      <c r="C15" s="53">
        <v>23</v>
      </c>
      <c r="D15" s="53">
        <v>21</v>
      </c>
      <c r="E15" s="54">
        <v>0.913</v>
      </c>
      <c r="F15" s="53">
        <v>1</v>
      </c>
      <c r="G15" s="54">
        <v>0.0435</v>
      </c>
      <c r="H15" s="53">
        <v>1</v>
      </c>
      <c r="I15" s="53">
        <v>0</v>
      </c>
      <c r="J15" s="55">
        <v>5.75</v>
      </c>
      <c r="K15" s="55">
        <v>0.25</v>
      </c>
      <c r="L15" s="53">
        <v>0</v>
      </c>
      <c r="M15" s="53">
        <v>5</v>
      </c>
      <c r="N15" s="53">
        <v>4</v>
      </c>
      <c r="O15" s="53">
        <v>4</v>
      </c>
      <c r="P15" s="56">
        <v>8</v>
      </c>
      <c r="R15" s="63" t="s">
        <v>37</v>
      </c>
      <c r="S15" s="16">
        <v>26</v>
      </c>
      <c r="T15" s="64">
        <v>0.1538</v>
      </c>
    </row>
    <row r="16" ht="20" customHeight="1" spans="2:20">
      <c r="B16" s="44" t="s">
        <v>38</v>
      </c>
      <c r="C16" s="45">
        <v>12</v>
      </c>
      <c r="D16" s="45">
        <v>8</v>
      </c>
      <c r="E16" s="46">
        <v>0.6667</v>
      </c>
      <c r="F16" s="45">
        <v>1</v>
      </c>
      <c r="G16" s="46">
        <v>0.0833</v>
      </c>
      <c r="H16" s="45">
        <v>3</v>
      </c>
      <c r="I16" s="45">
        <v>0</v>
      </c>
      <c r="J16" s="47">
        <v>3</v>
      </c>
      <c r="K16" s="47">
        <v>0.25</v>
      </c>
      <c r="L16" s="45">
        <v>0</v>
      </c>
      <c r="M16" s="45">
        <v>0</v>
      </c>
      <c r="N16" s="45">
        <v>2</v>
      </c>
      <c r="O16" s="45">
        <v>1</v>
      </c>
      <c r="P16" s="48">
        <v>5</v>
      </c>
      <c r="R16" s="65" t="s">
        <v>39</v>
      </c>
      <c r="S16" s="21">
        <v>23</v>
      </c>
      <c r="T16" s="66">
        <v>0.0435</v>
      </c>
    </row>
    <row r="17" ht="20" customHeight="1" spans="2:20">
      <c r="B17" s="52" t="s">
        <v>40</v>
      </c>
      <c r="C17" s="53">
        <v>32</v>
      </c>
      <c r="D17" s="53">
        <v>23</v>
      </c>
      <c r="E17" s="54">
        <v>0.7188</v>
      </c>
      <c r="F17" s="53">
        <v>3</v>
      </c>
      <c r="G17" s="54">
        <v>0.0938</v>
      </c>
      <c r="H17" s="53">
        <v>5</v>
      </c>
      <c r="I17" s="53">
        <v>0</v>
      </c>
      <c r="J17" s="55">
        <v>6.4</v>
      </c>
      <c r="K17" s="55">
        <v>0.6</v>
      </c>
      <c r="L17" s="53">
        <v>1</v>
      </c>
      <c r="M17" s="53">
        <v>7</v>
      </c>
      <c r="N17" s="53">
        <v>3</v>
      </c>
      <c r="O17" s="53">
        <v>7</v>
      </c>
      <c r="P17" s="56">
        <v>5</v>
      </c>
      <c r="R17" s="63" t="s">
        <v>41</v>
      </c>
      <c r="S17" s="16">
        <v>22</v>
      </c>
      <c r="T17" s="64">
        <v>0.2273</v>
      </c>
    </row>
    <row r="18" ht="20" customHeight="1" spans="2:20">
      <c r="B18" s="44" t="s">
        <v>42</v>
      </c>
      <c r="C18" s="45">
        <v>21</v>
      </c>
      <c r="D18" s="45">
        <v>14</v>
      </c>
      <c r="E18" s="46">
        <v>0.6667</v>
      </c>
      <c r="F18" s="45">
        <v>4</v>
      </c>
      <c r="G18" s="46">
        <v>0.1905</v>
      </c>
      <c r="H18" s="45">
        <v>1</v>
      </c>
      <c r="I18" s="45">
        <v>2</v>
      </c>
      <c r="J18" s="47">
        <v>5.25</v>
      </c>
      <c r="K18" s="47">
        <v>1</v>
      </c>
      <c r="L18" s="45">
        <v>0</v>
      </c>
      <c r="M18" s="45">
        <v>4</v>
      </c>
      <c r="N18" s="45">
        <v>2</v>
      </c>
      <c r="O18" s="45">
        <v>4</v>
      </c>
      <c r="P18" s="48">
        <v>4</v>
      </c>
      <c r="R18" s="65" t="s">
        <v>43</v>
      </c>
      <c r="S18" s="21">
        <v>21</v>
      </c>
      <c r="T18" s="66">
        <v>0.1905</v>
      </c>
    </row>
    <row r="19" ht="20" customHeight="1" spans="2:20">
      <c r="B19" s="52" t="s">
        <v>44</v>
      </c>
      <c r="C19" s="53">
        <v>26</v>
      </c>
      <c r="D19" s="53">
        <v>17</v>
      </c>
      <c r="E19" s="54">
        <v>0.6538</v>
      </c>
      <c r="F19" s="53">
        <v>4</v>
      </c>
      <c r="G19" s="54">
        <v>0.1538</v>
      </c>
      <c r="H19" s="53">
        <v>4</v>
      </c>
      <c r="I19" s="53">
        <v>1</v>
      </c>
      <c r="J19" s="55">
        <v>5.2</v>
      </c>
      <c r="K19" s="55">
        <v>0.8</v>
      </c>
      <c r="L19" s="53">
        <v>3</v>
      </c>
      <c r="M19" s="53">
        <v>5</v>
      </c>
      <c r="N19" s="53">
        <v>2</v>
      </c>
      <c r="O19" s="53">
        <v>3</v>
      </c>
      <c r="P19" s="56">
        <v>4</v>
      </c>
      <c r="R19" s="63" t="s">
        <v>45</v>
      </c>
      <c r="S19" s="16">
        <v>21</v>
      </c>
      <c r="T19" s="64">
        <v>0.1905</v>
      </c>
    </row>
    <row r="20" ht="20" customHeight="1" spans="2:20">
      <c r="B20" s="44" t="s">
        <v>46</v>
      </c>
      <c r="C20" s="45">
        <v>19</v>
      </c>
      <c r="D20" s="45">
        <v>13</v>
      </c>
      <c r="E20" s="46">
        <v>0.6842</v>
      </c>
      <c r="F20" s="45">
        <v>2</v>
      </c>
      <c r="G20" s="46">
        <v>0.1053</v>
      </c>
      <c r="H20" s="45">
        <v>1</v>
      </c>
      <c r="I20" s="45">
        <v>0</v>
      </c>
      <c r="J20" s="47">
        <v>4.75</v>
      </c>
      <c r="K20" s="47">
        <v>0.5</v>
      </c>
      <c r="L20" s="45">
        <v>0</v>
      </c>
      <c r="M20" s="45">
        <v>3</v>
      </c>
      <c r="N20" s="45">
        <v>5</v>
      </c>
      <c r="O20" s="45">
        <v>1</v>
      </c>
      <c r="P20" s="48">
        <v>4</v>
      </c>
      <c r="R20" s="65" t="s">
        <v>47</v>
      </c>
      <c r="S20" s="21">
        <v>20</v>
      </c>
      <c r="T20" s="66">
        <v>0.05</v>
      </c>
    </row>
    <row r="21" ht="20" customHeight="1" spans="2:20">
      <c r="B21" s="52" t="s">
        <v>48</v>
      </c>
      <c r="C21" s="53">
        <v>21</v>
      </c>
      <c r="D21" s="53">
        <v>13</v>
      </c>
      <c r="E21" s="54">
        <v>0.619</v>
      </c>
      <c r="F21" s="53">
        <v>4</v>
      </c>
      <c r="G21" s="54">
        <v>0.1905</v>
      </c>
      <c r="H21" s="53">
        <v>4</v>
      </c>
      <c r="I21" s="53">
        <v>0</v>
      </c>
      <c r="J21" s="55">
        <v>4.2</v>
      </c>
      <c r="K21" s="55">
        <v>0.8</v>
      </c>
      <c r="L21" s="53">
        <v>0</v>
      </c>
      <c r="M21" s="53">
        <v>1</v>
      </c>
      <c r="N21" s="53">
        <v>3</v>
      </c>
      <c r="O21" s="53">
        <v>4</v>
      </c>
      <c r="P21" s="56">
        <v>5</v>
      </c>
      <c r="R21" s="63" t="s">
        <v>49</v>
      </c>
      <c r="S21" s="16">
        <v>19</v>
      </c>
      <c r="T21" s="64">
        <v>0.1053</v>
      </c>
    </row>
    <row r="22" ht="20" customHeight="1" spans="2:20">
      <c r="B22" s="44" t="s">
        <v>50</v>
      </c>
      <c r="C22" s="45">
        <v>29</v>
      </c>
      <c r="D22" s="45">
        <v>17</v>
      </c>
      <c r="E22" s="46">
        <v>0.5862</v>
      </c>
      <c r="F22" s="45">
        <v>9</v>
      </c>
      <c r="G22" s="46">
        <v>0.3103</v>
      </c>
      <c r="H22" s="45">
        <v>1</v>
      </c>
      <c r="I22" s="45">
        <v>2</v>
      </c>
      <c r="J22" s="47">
        <v>5.8</v>
      </c>
      <c r="K22" s="47">
        <v>1.8</v>
      </c>
      <c r="L22" s="45">
        <v>3</v>
      </c>
      <c r="M22" s="45">
        <v>5</v>
      </c>
      <c r="N22" s="45">
        <v>3</v>
      </c>
      <c r="O22" s="45">
        <v>5</v>
      </c>
      <c r="P22" s="48">
        <v>1</v>
      </c>
      <c r="R22" s="65" t="s">
        <v>51</v>
      </c>
      <c r="S22" s="21">
        <v>14</v>
      </c>
      <c r="T22" s="66">
        <v>0.0714</v>
      </c>
    </row>
    <row r="23" ht="20" customHeight="1" spans="2:20">
      <c r="B23" s="52" t="s">
        <v>52</v>
      </c>
      <c r="C23" s="53">
        <v>29</v>
      </c>
      <c r="D23" s="53">
        <v>17</v>
      </c>
      <c r="E23" s="54">
        <v>0.5862</v>
      </c>
      <c r="F23" s="53">
        <v>8</v>
      </c>
      <c r="G23" s="54">
        <v>0.2759</v>
      </c>
      <c r="H23" s="53">
        <v>1</v>
      </c>
      <c r="I23" s="53">
        <v>0</v>
      </c>
      <c r="J23" s="55">
        <v>5.8</v>
      </c>
      <c r="K23" s="55">
        <v>1.6</v>
      </c>
      <c r="L23" s="53">
        <v>1</v>
      </c>
      <c r="M23" s="53">
        <v>5</v>
      </c>
      <c r="N23" s="53">
        <v>3</v>
      </c>
      <c r="O23" s="53">
        <v>4</v>
      </c>
      <c r="P23" s="56">
        <v>4</v>
      </c>
      <c r="R23" s="63" t="s">
        <v>53</v>
      </c>
      <c r="S23" s="16">
        <v>12</v>
      </c>
      <c r="T23" s="64">
        <v>0.0833</v>
      </c>
    </row>
    <row r="24" ht="20" customHeight="1" spans="2:20">
      <c r="B24" s="44" t="s">
        <v>54</v>
      </c>
      <c r="C24" s="45">
        <v>20</v>
      </c>
      <c r="D24" s="45">
        <v>16</v>
      </c>
      <c r="E24" s="46">
        <v>0.8</v>
      </c>
      <c r="F24" s="45">
        <v>1</v>
      </c>
      <c r="G24" s="46">
        <v>0.05</v>
      </c>
      <c r="H24" s="45">
        <v>0</v>
      </c>
      <c r="I24" s="45">
        <v>3</v>
      </c>
      <c r="J24" s="47">
        <v>5</v>
      </c>
      <c r="K24" s="47">
        <v>0.25</v>
      </c>
      <c r="L24" s="45">
        <v>3</v>
      </c>
      <c r="M24" s="45">
        <v>3</v>
      </c>
      <c r="N24" s="45">
        <v>1</v>
      </c>
      <c r="O24" s="45">
        <v>0</v>
      </c>
      <c r="P24" s="48">
        <v>9</v>
      </c>
      <c r="R24" s="67" t="s">
        <v>55</v>
      </c>
      <c r="S24" s="68">
        <v>8</v>
      </c>
      <c r="T24" s="69">
        <v>0</v>
      </c>
    </row>
    <row r="25" ht="22" customHeight="1" spans="2:20">
      <c r="B25" s="70" t="s">
        <v>56</v>
      </c>
      <c r="C25" s="27">
        <f>SUM(C10:C24)</f>
        <v>357</v>
      </c>
      <c r="D25" s="27">
        <f>SUM(D10:D24)</f>
        <v>234</v>
      </c>
      <c r="E25" s="71">
        <f>AVERAGE(E10:E24)</f>
        <v>0.657706666666667</v>
      </c>
      <c r="F25" s="27">
        <f>SUM(F10:F24)</f>
        <v>62</v>
      </c>
      <c r="G25" s="71">
        <f>AVERAGE(G10:G24)</f>
        <v>0.151146666666667</v>
      </c>
      <c r="H25" s="27">
        <f>SUM(H10:H24)</f>
        <v>35</v>
      </c>
      <c r="I25" s="27">
        <f>SUM(I10:I24)</f>
        <v>17</v>
      </c>
      <c r="J25" s="72">
        <f>AVERAGE(J10:J24)</f>
        <v>5.10333333333333</v>
      </c>
      <c r="K25" s="72">
        <f>AVERAGE(K10:K24)</f>
        <v>0.856666666666667</v>
      </c>
      <c r="L25" s="27">
        <f>SUM(L10:L24)</f>
        <v>19</v>
      </c>
      <c r="M25" s="27">
        <f>SUM(M10:M24)</f>
        <v>51</v>
      </c>
      <c r="N25" s="27">
        <f>SUM(N10:N24)</f>
        <v>46</v>
      </c>
      <c r="O25" s="27">
        <f>SUM(O10:O24)</f>
        <v>51</v>
      </c>
      <c r="P25" s="73">
        <f>SUM(P10:P24)</f>
        <v>67</v>
      </c>
    </row>
    <row r="27" spans="2:20">
      <c r="B27" s="74" t="s">
        <v>57</v>
      </c>
      <c r="J27" s="74" t="s">
        <v>58</v>
      </c>
    </row>
    <row r="28" spans="2:20">
      <c r="B28" t="s">
        <v>12</v>
      </c>
      <c r="C28" t="s">
        <v>59</v>
      </c>
      <c r="D28" t="s">
        <v>16</v>
      </c>
      <c r="J28" t="s">
        <v>60</v>
      </c>
      <c r="K28" t="s">
        <v>61</v>
      </c>
      <c r="L28" t="s">
        <v>62</v>
      </c>
      <c r="M28" t="s">
        <v>63</v>
      </c>
      <c r="N28" t="s">
        <v>64</v>
      </c>
      <c r="O28" t="s">
        <v>65</v>
      </c>
    </row>
    <row r="29" spans="2:20">
      <c r="B29" t="s">
        <v>28</v>
      </c>
      <c r="C29">
        <v>8</v>
      </c>
      <c r="D29">
        <v>1</v>
      </c>
      <c r="J29" t="s">
        <v>28</v>
      </c>
      <c r="K29">
        <v>1</v>
      </c>
      <c r="L29">
        <v>1</v>
      </c>
      <c r="M29">
        <v>2</v>
      </c>
      <c r="N29">
        <v>1</v>
      </c>
      <c r="O29">
        <v>3</v>
      </c>
    </row>
    <row r="30" spans="2:20">
      <c r="B30" t="s">
        <v>30</v>
      </c>
      <c r="C30">
        <v>23</v>
      </c>
      <c r="D30">
        <v>8</v>
      </c>
      <c r="J30" t="s">
        <v>30</v>
      </c>
      <c r="K30">
        <v>1</v>
      </c>
      <c r="L30">
        <v>5</v>
      </c>
      <c r="M30">
        <v>6</v>
      </c>
      <c r="N30">
        <v>5</v>
      </c>
      <c r="O30">
        <v>6</v>
      </c>
    </row>
    <row r="31" spans="2:20">
      <c r="B31" t="s">
        <v>9</v>
      </c>
      <c r="C31">
        <v>4</v>
      </c>
      <c r="D31">
        <v>0</v>
      </c>
      <c r="J31" t="s">
        <v>9</v>
      </c>
      <c r="K31">
        <v>0</v>
      </c>
      <c r="L31">
        <v>1</v>
      </c>
      <c r="M31">
        <v>1</v>
      </c>
      <c r="N31">
        <v>1</v>
      </c>
      <c r="O31">
        <v>1</v>
      </c>
    </row>
    <row r="32" spans="2:20">
      <c r="B32" t="s">
        <v>8</v>
      </c>
      <c r="C32">
        <v>25</v>
      </c>
      <c r="D32">
        <v>11</v>
      </c>
      <c r="J32" t="s">
        <v>8</v>
      </c>
      <c r="K32">
        <v>6</v>
      </c>
      <c r="L32">
        <v>2</v>
      </c>
      <c r="M32">
        <v>5</v>
      </c>
      <c r="N32">
        <v>7</v>
      </c>
      <c r="O32">
        <v>5</v>
      </c>
    </row>
    <row r="33" spans="2:15">
      <c r="B33" t="s">
        <v>34</v>
      </c>
      <c r="C33">
        <v>15</v>
      </c>
      <c r="D33">
        <v>5</v>
      </c>
      <c r="J33" t="s">
        <v>34</v>
      </c>
      <c r="K33">
        <v>0</v>
      </c>
      <c r="L33">
        <v>4</v>
      </c>
      <c r="M33">
        <v>4</v>
      </c>
      <c r="N33">
        <v>4</v>
      </c>
      <c r="O33">
        <v>3</v>
      </c>
    </row>
    <row r="34" spans="2:15">
      <c r="B34" t="s">
        <v>36</v>
      </c>
      <c r="C34">
        <v>21</v>
      </c>
      <c r="D34">
        <v>1</v>
      </c>
      <c r="J34" t="s">
        <v>36</v>
      </c>
      <c r="K34">
        <v>0</v>
      </c>
      <c r="L34">
        <v>5</v>
      </c>
      <c r="M34">
        <v>4</v>
      </c>
      <c r="N34">
        <v>4</v>
      </c>
      <c r="O34">
        <v>8</v>
      </c>
    </row>
    <row r="35" spans="2:15">
      <c r="B35" t="s">
        <v>38</v>
      </c>
      <c r="C35">
        <v>8</v>
      </c>
      <c r="D35">
        <v>1</v>
      </c>
      <c r="J35" t="s">
        <v>38</v>
      </c>
      <c r="K35">
        <v>0</v>
      </c>
      <c r="L35">
        <v>0</v>
      </c>
      <c r="M35">
        <v>2</v>
      </c>
      <c r="N35">
        <v>1</v>
      </c>
      <c r="O35">
        <v>5</v>
      </c>
    </row>
    <row r="36" spans="2:15">
      <c r="B36" t="s">
        <v>40</v>
      </c>
      <c r="C36">
        <v>23</v>
      </c>
      <c r="D36">
        <v>3</v>
      </c>
      <c r="J36" t="s">
        <v>40</v>
      </c>
      <c r="K36">
        <v>1</v>
      </c>
      <c r="L36">
        <v>7</v>
      </c>
      <c r="M36">
        <v>3</v>
      </c>
      <c r="N36">
        <v>7</v>
      </c>
      <c r="O36">
        <v>5</v>
      </c>
    </row>
    <row r="37" spans="2:15">
      <c r="B37" t="s">
        <v>42</v>
      </c>
      <c r="C37">
        <v>14</v>
      </c>
      <c r="D37">
        <v>4</v>
      </c>
      <c r="J37" t="s">
        <v>42</v>
      </c>
      <c r="K37">
        <v>0</v>
      </c>
      <c r="L37">
        <v>4</v>
      </c>
      <c r="M37">
        <v>2</v>
      </c>
      <c r="N37">
        <v>4</v>
      </c>
      <c r="O37">
        <v>4</v>
      </c>
    </row>
    <row r="38" spans="2:15">
      <c r="B38" t="s">
        <v>44</v>
      </c>
      <c r="C38">
        <v>17</v>
      </c>
      <c r="D38">
        <v>4</v>
      </c>
      <c r="J38" t="s">
        <v>44</v>
      </c>
      <c r="K38">
        <v>3</v>
      </c>
      <c r="L38">
        <v>5</v>
      </c>
      <c r="M38">
        <v>2</v>
      </c>
      <c r="N38">
        <v>3</v>
      </c>
      <c r="O38">
        <v>4</v>
      </c>
    </row>
    <row r="39" spans="2:15">
      <c r="B39" t="s">
        <v>46</v>
      </c>
      <c r="C39">
        <v>13</v>
      </c>
      <c r="D39">
        <v>2</v>
      </c>
      <c r="J39" t="s">
        <v>46</v>
      </c>
      <c r="K39">
        <v>0</v>
      </c>
      <c r="L39">
        <v>3</v>
      </c>
      <c r="M39">
        <v>5</v>
      </c>
      <c r="N39">
        <v>1</v>
      </c>
      <c r="O39">
        <v>4</v>
      </c>
    </row>
    <row r="40" spans="2:15">
      <c r="B40" t="s">
        <v>48</v>
      </c>
      <c r="C40">
        <v>13</v>
      </c>
      <c r="D40">
        <v>4</v>
      </c>
      <c r="J40" t="s">
        <v>48</v>
      </c>
      <c r="K40">
        <v>0</v>
      </c>
      <c r="L40">
        <v>1</v>
      </c>
      <c r="M40">
        <v>3</v>
      </c>
      <c r="N40">
        <v>4</v>
      </c>
      <c r="O40">
        <v>5</v>
      </c>
    </row>
    <row r="41" spans="2:15">
      <c r="B41" t="s">
        <v>50</v>
      </c>
      <c r="C41">
        <v>17</v>
      </c>
      <c r="D41">
        <v>9</v>
      </c>
      <c r="J41" t="s">
        <v>50</v>
      </c>
      <c r="K41">
        <v>3</v>
      </c>
      <c r="L41">
        <v>5</v>
      </c>
      <c r="M41">
        <v>3</v>
      </c>
      <c r="N41">
        <v>5</v>
      </c>
      <c r="O41">
        <v>1</v>
      </c>
    </row>
    <row r="42" spans="2:15">
      <c r="B42" t="s">
        <v>52</v>
      </c>
      <c r="C42">
        <v>17</v>
      </c>
      <c r="D42">
        <v>8</v>
      </c>
      <c r="J42" t="s">
        <v>52</v>
      </c>
      <c r="K42">
        <v>1</v>
      </c>
      <c r="L42">
        <v>5</v>
      </c>
      <c r="M42">
        <v>3</v>
      </c>
      <c r="N42">
        <v>4</v>
      </c>
      <c r="O42">
        <v>4</v>
      </c>
    </row>
    <row r="43" spans="2:15">
      <c r="B43" t="s">
        <v>54</v>
      </c>
      <c r="C43">
        <v>16</v>
      </c>
      <c r="D43">
        <v>1</v>
      </c>
      <c r="J43" t="s">
        <v>54</v>
      </c>
      <c r="K43">
        <v>3</v>
      </c>
      <c r="L43">
        <v>3</v>
      </c>
      <c r="M43">
        <v>1</v>
      </c>
      <c r="N43">
        <v>0</v>
      </c>
      <c r="O43">
        <v>9</v>
      </c>
    </row>
    <row r="49" spans="2:11">
      <c r="B49" s="74" t="s">
        <v>66</v>
      </c>
      <c r="J49" s="74" t="s">
        <v>67</v>
      </c>
    </row>
    <row r="50" spans="2:11">
      <c r="B50" t="s">
        <v>12</v>
      </c>
      <c r="C50" t="s">
        <v>17</v>
      </c>
      <c r="J50" t="s">
        <v>12</v>
      </c>
      <c r="K50" t="s">
        <v>68</v>
      </c>
    </row>
    <row r="51" spans="2:11">
      <c r="B51" t="s">
        <v>28</v>
      </c>
      <c r="C51">
        <v>0.0714</v>
      </c>
      <c r="J51" t="s">
        <v>28</v>
      </c>
      <c r="K51">
        <v>2.8</v>
      </c>
    </row>
    <row r="52" spans="2:11">
      <c r="B52" t="s">
        <v>30</v>
      </c>
      <c r="C52">
        <v>0.2424</v>
      </c>
      <c r="J52" t="s">
        <v>30</v>
      </c>
      <c r="K52">
        <v>6.6</v>
      </c>
    </row>
    <row r="53" spans="2:11">
      <c r="B53" t="s">
        <v>9</v>
      </c>
      <c r="C53">
        <v>0</v>
      </c>
      <c r="J53" t="s">
        <v>9</v>
      </c>
      <c r="K53">
        <v>2</v>
      </c>
    </row>
    <row r="54" spans="2:11">
      <c r="B54" t="s">
        <v>8</v>
      </c>
      <c r="C54">
        <v>0.2292</v>
      </c>
      <c r="J54" t="s">
        <v>8</v>
      </c>
      <c r="K54">
        <v>9.6</v>
      </c>
    </row>
    <row r="55" spans="2:11">
      <c r="B55" t="s">
        <v>34</v>
      </c>
      <c r="C55">
        <v>0.2273</v>
      </c>
      <c r="J55" t="s">
        <v>34</v>
      </c>
      <c r="K55">
        <v>4.4</v>
      </c>
    </row>
    <row r="56" spans="2:11">
      <c r="B56" t="s">
        <v>36</v>
      </c>
      <c r="C56">
        <v>0.0435</v>
      </c>
      <c r="J56" t="s">
        <v>36</v>
      </c>
      <c r="K56">
        <v>5.75</v>
      </c>
    </row>
    <row r="57" spans="2:11">
      <c r="B57" t="s">
        <v>38</v>
      </c>
      <c r="C57">
        <v>0.0833</v>
      </c>
      <c r="J57" t="s">
        <v>38</v>
      </c>
      <c r="K57">
        <v>3</v>
      </c>
    </row>
    <row r="58" spans="2:11">
      <c r="B58" t="s">
        <v>40</v>
      </c>
      <c r="C58">
        <v>0.0938</v>
      </c>
      <c r="J58" t="s">
        <v>40</v>
      </c>
      <c r="K58">
        <v>6.4</v>
      </c>
    </row>
    <row r="59" spans="2:11">
      <c r="B59" t="s">
        <v>42</v>
      </c>
      <c r="C59">
        <v>0.1905</v>
      </c>
      <c r="J59" t="s">
        <v>42</v>
      </c>
      <c r="K59">
        <v>5.25</v>
      </c>
    </row>
    <row r="60" spans="2:11">
      <c r="B60" t="s">
        <v>44</v>
      </c>
      <c r="C60">
        <v>0.1538</v>
      </c>
      <c r="J60" t="s">
        <v>44</v>
      </c>
      <c r="K60">
        <v>5.2</v>
      </c>
    </row>
    <row r="61" spans="2:11">
      <c r="B61" t="s">
        <v>46</v>
      </c>
      <c r="C61">
        <v>0.1053</v>
      </c>
      <c r="J61" t="s">
        <v>46</v>
      </c>
      <c r="K61">
        <v>4.75</v>
      </c>
    </row>
    <row r="62" spans="2:11">
      <c r="B62" t="s">
        <v>48</v>
      </c>
      <c r="C62">
        <v>0.1905</v>
      </c>
      <c r="J62" t="s">
        <v>48</v>
      </c>
      <c r="K62">
        <v>4.2</v>
      </c>
    </row>
    <row r="63" spans="2:11">
      <c r="B63" t="s">
        <v>50</v>
      </c>
      <c r="C63">
        <v>0.3103</v>
      </c>
      <c r="J63" t="s">
        <v>50</v>
      </c>
      <c r="K63">
        <v>5.8</v>
      </c>
    </row>
    <row r="64" spans="2:11">
      <c r="B64" t="s">
        <v>52</v>
      </c>
      <c r="C64">
        <v>0.2759</v>
      </c>
      <c r="J64" t="s">
        <v>52</v>
      </c>
      <c r="K64">
        <v>5.8</v>
      </c>
    </row>
    <row r="65" spans="2:11">
      <c r="B65" t="s">
        <v>54</v>
      </c>
      <c r="C65">
        <v>0.05</v>
      </c>
      <c r="J65" t="s">
        <v>54</v>
      </c>
      <c r="K65">
        <v>5</v>
      </c>
    </row>
  </sheetData>
  <mergeCells count="19">
    <mergeCell ref="B2:P2"/>
    <mergeCell ref="B4:C4"/>
    <mergeCell ref="D4:E4"/>
    <mergeCell ref="F4:G4"/>
    <mergeCell ref="H4:I4"/>
    <mergeCell ref="J4:K4"/>
    <mergeCell ref="L4:M4"/>
    <mergeCell ref="B5:C5"/>
    <mergeCell ref="D5:E5"/>
    <mergeCell ref="F5:G5"/>
    <mergeCell ref="H5:I5"/>
    <mergeCell ref="J5:K5"/>
    <mergeCell ref="L5:M5"/>
    <mergeCell ref="B8:P8"/>
    <mergeCell ref="R8:T8"/>
    <mergeCell ref="B27:H27"/>
    <mergeCell ref="J27:P27"/>
    <mergeCell ref="B49:H49"/>
    <mergeCell ref="J49:P49"/>
  </mergeCells>
  <conditionalFormatting sqref="C10:C24">
    <cfRule type="dataBar" priority="2">
      <dataBar>
        <cfvo type="min"/>
        <cfvo type="max"/>
        <color rgb="FF2E75B6"/>
      </dataBar>
      <extLst>
        <ext xmlns:x14="http://schemas.microsoft.com/office/spreadsheetml/2009/9/main" uri="{B025F937-C7B1-47D3-B67F-A62EFF666E3E}">
          <x14:id>{1d9aa7c1-692a-4837-91f2-f4aabe6ccde4}</x14:id>
        </ext>
      </extLst>
    </cfRule>
  </conditionalFormatting>
  <conditionalFormatting sqref="G10:G24">
    <cfRule type="colorScale" priority="1">
      <colorScale>
        <cfvo type="min"/>
        <cfvo type="percentile" val="50"/>
        <cfvo type="max"/>
        <color rgb="FF70AD47"/>
        <color rgb="FFFFEB84"/>
        <color rgb="FFC00000"/>
      </colorScale>
    </cfRule>
  </conditionalFormatting>
  <pageMargins left="0.75" right="0.75" top="1" bottom="1" header="0.5" footer="0.5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9aa7c1-692a-4837-91f2-f4aabe6ccde4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C10:C24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6DCE4"/>
  </sheetPr>
  <dimension ref="A1:Q16"/>
  <sheetViews>
    <sheetView workbookViewId="0">
      <selection activeCell="A1" sqref="A1"/>
    </sheetView>
  </sheetViews>
  <sheetFormatPr defaultColWidth="9" defaultRowHeight="14.4"/>
  <sheetData>
    <row r="1" spans="1:17">
      <c r="A1" t="s">
        <v>12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27</v>
      </c>
      <c r="M1" t="s">
        <v>79</v>
      </c>
      <c r="N1" t="s">
        <v>80</v>
      </c>
      <c r="O1" t="s">
        <v>81</v>
      </c>
      <c r="P1" t="s">
        <v>82</v>
      </c>
      <c r="Q1" t="s">
        <v>68</v>
      </c>
    </row>
    <row r="2" spans="1:17">
      <c r="A2" t="s">
        <v>28</v>
      </c>
      <c r="B2">
        <v>1</v>
      </c>
      <c r="C2">
        <v>1</v>
      </c>
      <c r="D2">
        <v>2</v>
      </c>
      <c r="E2">
        <v>1</v>
      </c>
      <c r="F2">
        <v>3</v>
      </c>
      <c r="G2">
        <v>0</v>
      </c>
      <c r="H2">
        <v>0</v>
      </c>
      <c r="I2">
        <v>0</v>
      </c>
      <c r="J2">
        <v>0</v>
      </c>
      <c r="K2">
        <v>1</v>
      </c>
      <c r="L2">
        <v>14</v>
      </c>
      <c r="M2">
        <v>8</v>
      </c>
      <c r="N2">
        <v>1</v>
      </c>
      <c r="O2">
        <v>0.0714</v>
      </c>
      <c r="P2">
        <v>0.5714</v>
      </c>
      <c r="Q2">
        <v>2.8</v>
      </c>
    </row>
    <row r="3" spans="1:17">
      <c r="A3" t="s">
        <v>30</v>
      </c>
      <c r="B3">
        <v>1</v>
      </c>
      <c r="C3">
        <v>5</v>
      </c>
      <c r="D3">
        <v>6</v>
      </c>
      <c r="E3">
        <v>5</v>
      </c>
      <c r="F3">
        <v>6</v>
      </c>
      <c r="G3">
        <v>2</v>
      </c>
      <c r="H3">
        <v>2</v>
      </c>
      <c r="I3">
        <v>1</v>
      </c>
      <c r="J3">
        <v>1</v>
      </c>
      <c r="K3">
        <v>2</v>
      </c>
      <c r="L3">
        <v>33</v>
      </c>
      <c r="M3">
        <v>23</v>
      </c>
      <c r="N3">
        <v>8</v>
      </c>
      <c r="O3">
        <v>0.2424</v>
      </c>
      <c r="P3">
        <v>0.697</v>
      </c>
      <c r="Q3">
        <v>6.6</v>
      </c>
    </row>
    <row r="4" spans="1:17">
      <c r="A4" t="s">
        <v>9</v>
      </c>
      <c r="B4">
        <v>0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8</v>
      </c>
      <c r="M4">
        <v>4</v>
      </c>
      <c r="N4">
        <v>0</v>
      </c>
      <c r="O4">
        <v>0</v>
      </c>
      <c r="P4">
        <v>0.5</v>
      </c>
      <c r="Q4">
        <v>2</v>
      </c>
    </row>
    <row r="5" spans="1:17">
      <c r="A5" t="s">
        <v>8</v>
      </c>
      <c r="B5">
        <v>6</v>
      </c>
      <c r="C5">
        <v>2</v>
      </c>
      <c r="D5">
        <v>5</v>
      </c>
      <c r="E5">
        <v>7</v>
      </c>
      <c r="F5">
        <v>5</v>
      </c>
      <c r="G5">
        <v>2</v>
      </c>
      <c r="H5">
        <v>4</v>
      </c>
      <c r="I5">
        <v>0</v>
      </c>
      <c r="J5">
        <v>2</v>
      </c>
      <c r="K5">
        <v>3</v>
      </c>
      <c r="L5">
        <v>48</v>
      </c>
      <c r="M5">
        <v>25</v>
      </c>
      <c r="N5">
        <v>11</v>
      </c>
      <c r="O5">
        <v>0.2292</v>
      </c>
      <c r="P5">
        <v>0.5208</v>
      </c>
      <c r="Q5">
        <v>9.6</v>
      </c>
    </row>
    <row r="6" spans="1:17">
      <c r="A6" t="s">
        <v>34</v>
      </c>
      <c r="B6">
        <v>0</v>
      </c>
      <c r="C6">
        <v>4</v>
      </c>
      <c r="D6">
        <v>4</v>
      </c>
      <c r="E6">
        <v>4</v>
      </c>
      <c r="F6">
        <v>3</v>
      </c>
      <c r="G6">
        <v>0</v>
      </c>
      <c r="H6">
        <v>3</v>
      </c>
      <c r="I6">
        <v>0</v>
      </c>
      <c r="J6">
        <v>0</v>
      </c>
      <c r="K6">
        <v>2</v>
      </c>
      <c r="L6">
        <v>22</v>
      </c>
      <c r="M6">
        <v>15</v>
      </c>
      <c r="N6">
        <v>5</v>
      </c>
      <c r="O6">
        <v>0.2273</v>
      </c>
      <c r="P6">
        <v>0.6818</v>
      </c>
      <c r="Q6">
        <v>4.4</v>
      </c>
    </row>
    <row r="7" spans="1:17">
      <c r="A7" t="s">
        <v>36</v>
      </c>
      <c r="B7">
        <v>0</v>
      </c>
      <c r="C7">
        <v>5</v>
      </c>
      <c r="D7">
        <v>4</v>
      </c>
      <c r="E7">
        <v>4</v>
      </c>
      <c r="F7">
        <v>8</v>
      </c>
      <c r="G7">
        <v>0</v>
      </c>
      <c r="H7">
        <v>0</v>
      </c>
      <c r="I7">
        <v>0</v>
      </c>
      <c r="J7">
        <v>1</v>
      </c>
      <c r="K7">
        <v>0</v>
      </c>
      <c r="L7">
        <v>23</v>
      </c>
      <c r="M7">
        <v>21</v>
      </c>
      <c r="N7">
        <v>1</v>
      </c>
      <c r="O7">
        <v>0.0435</v>
      </c>
      <c r="P7">
        <v>0.913</v>
      </c>
      <c r="Q7">
        <v>5.75</v>
      </c>
    </row>
    <row r="8" spans="1:17">
      <c r="A8" t="s">
        <v>38</v>
      </c>
      <c r="B8">
        <v>0</v>
      </c>
      <c r="C8">
        <v>0</v>
      </c>
      <c r="D8">
        <v>2</v>
      </c>
      <c r="E8">
        <v>1</v>
      </c>
      <c r="F8">
        <v>5</v>
      </c>
      <c r="G8">
        <v>1</v>
      </c>
      <c r="H8">
        <v>0</v>
      </c>
      <c r="I8">
        <v>0</v>
      </c>
      <c r="J8">
        <v>0</v>
      </c>
      <c r="K8">
        <v>0</v>
      </c>
      <c r="L8">
        <v>12</v>
      </c>
      <c r="M8">
        <v>8</v>
      </c>
      <c r="N8">
        <v>1</v>
      </c>
      <c r="O8">
        <v>0.0833</v>
      </c>
      <c r="P8">
        <v>0.6667</v>
      </c>
      <c r="Q8">
        <v>3</v>
      </c>
    </row>
    <row r="9" spans="1:17">
      <c r="A9" t="s">
        <v>40</v>
      </c>
      <c r="B9">
        <v>1</v>
      </c>
      <c r="C9">
        <v>7</v>
      </c>
      <c r="D9">
        <v>3</v>
      </c>
      <c r="E9">
        <v>7</v>
      </c>
      <c r="F9">
        <v>5</v>
      </c>
      <c r="G9">
        <v>1</v>
      </c>
      <c r="H9">
        <v>0</v>
      </c>
      <c r="I9">
        <v>0</v>
      </c>
      <c r="J9">
        <v>2</v>
      </c>
      <c r="K9">
        <v>0</v>
      </c>
      <c r="L9">
        <v>32</v>
      </c>
      <c r="M9">
        <v>23</v>
      </c>
      <c r="N9">
        <v>3</v>
      </c>
      <c r="O9">
        <v>0.0938</v>
      </c>
      <c r="P9">
        <v>0.7188</v>
      </c>
      <c r="Q9">
        <v>6.4</v>
      </c>
    </row>
    <row r="10" spans="1:17">
      <c r="A10" t="s">
        <v>42</v>
      </c>
      <c r="B10">
        <v>0</v>
      </c>
      <c r="C10">
        <v>4</v>
      </c>
      <c r="D10">
        <v>2</v>
      </c>
      <c r="E10">
        <v>4</v>
      </c>
      <c r="F10">
        <v>4</v>
      </c>
      <c r="G10">
        <v>0</v>
      </c>
      <c r="H10">
        <v>2</v>
      </c>
      <c r="I10">
        <v>1</v>
      </c>
      <c r="J10">
        <v>0</v>
      </c>
      <c r="K10">
        <v>1</v>
      </c>
      <c r="L10">
        <v>21</v>
      </c>
      <c r="M10">
        <v>14</v>
      </c>
      <c r="N10">
        <v>4</v>
      </c>
      <c r="O10">
        <v>0.1905</v>
      </c>
      <c r="P10">
        <v>0.6667</v>
      </c>
      <c r="Q10">
        <v>5.25</v>
      </c>
    </row>
    <row r="11" spans="1:17">
      <c r="A11" t="s">
        <v>44</v>
      </c>
      <c r="B11">
        <v>3</v>
      </c>
      <c r="C11">
        <v>5</v>
      </c>
      <c r="D11">
        <v>2</v>
      </c>
      <c r="E11">
        <v>3</v>
      </c>
      <c r="F11">
        <v>4</v>
      </c>
      <c r="G11">
        <v>1</v>
      </c>
      <c r="H11">
        <v>1</v>
      </c>
      <c r="I11">
        <v>1</v>
      </c>
      <c r="J11">
        <v>1</v>
      </c>
      <c r="K11">
        <v>0</v>
      </c>
      <c r="L11">
        <v>26</v>
      </c>
      <c r="M11">
        <v>17</v>
      </c>
      <c r="N11">
        <v>4</v>
      </c>
      <c r="O11">
        <v>0.1538</v>
      </c>
      <c r="P11">
        <v>0.6538</v>
      </c>
      <c r="Q11">
        <v>5.2</v>
      </c>
    </row>
    <row r="12" spans="1:17">
      <c r="A12" t="s">
        <v>46</v>
      </c>
      <c r="B12">
        <v>0</v>
      </c>
      <c r="C12">
        <v>3</v>
      </c>
      <c r="D12">
        <v>5</v>
      </c>
      <c r="E12">
        <v>1</v>
      </c>
      <c r="F12">
        <v>4</v>
      </c>
      <c r="G12">
        <v>0</v>
      </c>
      <c r="H12">
        <v>0</v>
      </c>
      <c r="I12">
        <v>1</v>
      </c>
      <c r="J12">
        <v>0</v>
      </c>
      <c r="K12">
        <v>1</v>
      </c>
      <c r="L12">
        <v>19</v>
      </c>
      <c r="M12">
        <v>13</v>
      </c>
      <c r="N12">
        <v>2</v>
      </c>
      <c r="O12">
        <v>0.1053</v>
      </c>
      <c r="P12">
        <v>0.6842</v>
      </c>
      <c r="Q12">
        <v>4.75</v>
      </c>
    </row>
    <row r="13" spans="1:17">
      <c r="A13" t="s">
        <v>48</v>
      </c>
      <c r="B13">
        <v>0</v>
      </c>
      <c r="C13">
        <v>1</v>
      </c>
      <c r="D13">
        <v>3</v>
      </c>
      <c r="E13">
        <v>4</v>
      </c>
      <c r="F13">
        <v>5</v>
      </c>
      <c r="G13">
        <v>1</v>
      </c>
      <c r="H13">
        <v>0</v>
      </c>
      <c r="I13">
        <v>1</v>
      </c>
      <c r="J13">
        <v>0</v>
      </c>
      <c r="K13">
        <v>2</v>
      </c>
      <c r="L13">
        <v>21</v>
      </c>
      <c r="M13">
        <v>13</v>
      </c>
      <c r="N13">
        <v>4</v>
      </c>
      <c r="O13">
        <v>0.1905</v>
      </c>
      <c r="P13">
        <v>0.619</v>
      </c>
      <c r="Q13">
        <v>4.2</v>
      </c>
    </row>
    <row r="14" spans="1:17">
      <c r="A14" t="s">
        <v>50</v>
      </c>
      <c r="B14">
        <v>3</v>
      </c>
      <c r="C14">
        <v>5</v>
      </c>
      <c r="D14">
        <v>3</v>
      </c>
      <c r="E14">
        <v>5</v>
      </c>
      <c r="F14">
        <v>1</v>
      </c>
      <c r="G14">
        <v>2</v>
      </c>
      <c r="H14">
        <v>0</v>
      </c>
      <c r="I14">
        <v>2</v>
      </c>
      <c r="J14">
        <v>0</v>
      </c>
      <c r="K14">
        <v>5</v>
      </c>
      <c r="L14">
        <v>29</v>
      </c>
      <c r="M14">
        <v>17</v>
      </c>
      <c r="N14">
        <v>9</v>
      </c>
      <c r="O14">
        <v>0.3103</v>
      </c>
      <c r="P14">
        <v>0.5862</v>
      </c>
      <c r="Q14">
        <v>5.8</v>
      </c>
    </row>
    <row r="15" spans="1:17">
      <c r="A15" t="s">
        <v>52</v>
      </c>
      <c r="B15">
        <v>1</v>
      </c>
      <c r="C15">
        <v>5</v>
      </c>
      <c r="D15">
        <v>3</v>
      </c>
      <c r="E15">
        <v>4</v>
      </c>
      <c r="F15">
        <v>4</v>
      </c>
      <c r="G15">
        <v>1</v>
      </c>
      <c r="H15">
        <v>1</v>
      </c>
      <c r="I15">
        <v>1</v>
      </c>
      <c r="J15">
        <v>1</v>
      </c>
      <c r="K15">
        <v>4</v>
      </c>
      <c r="L15">
        <v>29</v>
      </c>
      <c r="M15">
        <v>17</v>
      </c>
      <c r="N15">
        <v>8</v>
      </c>
      <c r="O15">
        <v>0.2759</v>
      </c>
      <c r="P15">
        <v>0.5862</v>
      </c>
      <c r="Q15">
        <v>5.8</v>
      </c>
    </row>
    <row r="16" spans="1:17">
      <c r="A16" t="s">
        <v>54</v>
      </c>
      <c r="B16">
        <v>3</v>
      </c>
      <c r="C16">
        <v>3</v>
      </c>
      <c r="D16">
        <v>1</v>
      </c>
      <c r="E16">
        <v>0</v>
      </c>
      <c r="F16">
        <v>9</v>
      </c>
      <c r="G16">
        <v>0</v>
      </c>
      <c r="H16">
        <v>0</v>
      </c>
      <c r="I16">
        <v>1</v>
      </c>
      <c r="J16">
        <v>0</v>
      </c>
      <c r="K16">
        <v>0</v>
      </c>
      <c r="L16">
        <v>20</v>
      </c>
      <c r="M16">
        <v>16</v>
      </c>
      <c r="N16">
        <v>1</v>
      </c>
      <c r="O16">
        <v>0.05</v>
      </c>
      <c r="P16">
        <v>0.8</v>
      </c>
      <c r="Q16">
        <v>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F14"/>
  <sheetViews>
    <sheetView showGridLines="0" zoomScale="70" zoomScaleNormal="70" topLeftCell="A3" workbookViewId="0">
      <selection activeCell="A1" sqref="A1"/>
    </sheetView>
  </sheetViews>
  <sheetFormatPr defaultColWidth="9" defaultRowHeight="14.4" outlineLevelCol="5"/>
  <cols>
    <col min="1" max="1" width="16" customWidth="1"/>
    <col min="2" max="6" width="14" customWidth="1"/>
  </cols>
  <sheetData>
    <row r="1" ht="8" customHeight="1"/>
    <row r="2" ht="36" customHeight="1" spans="1:6">
      <c r="A2" s="1" t="s">
        <v>83</v>
      </c>
    </row>
    <row r="3" ht="15.15"/>
    <row r="4" ht="22" customHeight="1" spans="1:6">
      <c r="A4" s="2" t="s">
        <v>27</v>
      </c>
      <c r="B4" s="3" t="s">
        <v>59</v>
      </c>
      <c r="C4" s="3" t="s">
        <v>16</v>
      </c>
      <c r="D4" s="3" t="s">
        <v>17</v>
      </c>
      <c r="E4" s="3" t="s">
        <v>15</v>
      </c>
      <c r="F4" s="4" t="s">
        <v>68</v>
      </c>
    </row>
    <row r="5" ht="22" customHeight="1" spans="1:6">
      <c r="A5" s="5">
        <v>14</v>
      </c>
      <c r="B5" s="6">
        <v>8</v>
      </c>
      <c r="C5" s="6">
        <v>1</v>
      </c>
      <c r="D5" s="7">
        <v>0.0714</v>
      </c>
      <c r="E5" s="7">
        <v>0.5714</v>
      </c>
      <c r="F5" s="8">
        <v>2.8</v>
      </c>
    </row>
    <row r="6" ht="15.15"/>
    <row r="7" ht="26" customHeight="1" spans="1:6">
      <c r="A7" s="9" t="s">
        <v>84</v>
      </c>
      <c r="B7" s="10"/>
      <c r="C7" s="10"/>
      <c r="D7" s="10"/>
      <c r="E7" s="10"/>
      <c r="F7" s="11"/>
    </row>
    <row r="8" spans="1:6">
      <c r="A8" s="12" t="s">
        <v>60</v>
      </c>
      <c r="B8" s="13" t="s">
        <v>27</v>
      </c>
      <c r="C8" s="13" t="s">
        <v>59</v>
      </c>
      <c r="D8" s="13" t="s">
        <v>15</v>
      </c>
      <c r="E8" s="13" t="s">
        <v>16</v>
      </c>
      <c r="F8" s="14" t="s">
        <v>17</v>
      </c>
    </row>
    <row r="9" ht="20" customHeight="1" spans="1:6">
      <c r="A9" s="15" t="s">
        <v>85</v>
      </c>
      <c r="B9" s="16">
        <v>1</v>
      </c>
      <c r="C9" s="17">
        <v>1</v>
      </c>
      <c r="D9" s="18">
        <f t="shared" ref="D9:D14" si="0">C9/B9</f>
        <v>1</v>
      </c>
      <c r="E9" s="16">
        <v>0</v>
      </c>
      <c r="F9" s="19">
        <f t="shared" ref="F9:F14" si="1">E9/B9</f>
        <v>0</v>
      </c>
    </row>
    <row r="10" ht="20" customHeight="1" spans="1:6">
      <c r="A10" s="20" t="s">
        <v>86</v>
      </c>
      <c r="B10" s="21">
        <v>2</v>
      </c>
      <c r="C10" s="22">
        <v>1</v>
      </c>
      <c r="D10" s="23">
        <f t="shared" si="0"/>
        <v>0.5</v>
      </c>
      <c r="E10" s="21">
        <v>0</v>
      </c>
      <c r="F10" s="24">
        <f t="shared" si="1"/>
        <v>0</v>
      </c>
    </row>
    <row r="11" ht="20" customHeight="1" spans="1:6">
      <c r="A11" s="15" t="s">
        <v>87</v>
      </c>
      <c r="B11" s="16">
        <v>5</v>
      </c>
      <c r="C11" s="17">
        <v>2</v>
      </c>
      <c r="D11" s="18">
        <f t="shared" si="0"/>
        <v>0.4</v>
      </c>
      <c r="E11" s="16">
        <v>0</v>
      </c>
      <c r="F11" s="19">
        <f t="shared" si="1"/>
        <v>0</v>
      </c>
    </row>
    <row r="12" ht="20" customHeight="1" spans="1:6">
      <c r="A12" s="20" t="s">
        <v>88</v>
      </c>
      <c r="B12" s="21">
        <v>1</v>
      </c>
      <c r="C12" s="22">
        <v>1</v>
      </c>
      <c r="D12" s="23">
        <f t="shared" si="0"/>
        <v>1</v>
      </c>
      <c r="E12" s="21">
        <v>0</v>
      </c>
      <c r="F12" s="24">
        <f t="shared" si="1"/>
        <v>0</v>
      </c>
    </row>
    <row r="13" ht="20" customHeight="1" spans="1:6">
      <c r="A13" s="15" t="s">
        <v>89</v>
      </c>
      <c r="B13" s="16">
        <v>5</v>
      </c>
      <c r="C13" s="17">
        <v>3</v>
      </c>
      <c r="D13" s="18">
        <f t="shared" si="0"/>
        <v>0.6</v>
      </c>
      <c r="E13" s="25">
        <v>1</v>
      </c>
      <c r="F13" s="19">
        <f t="shared" si="1"/>
        <v>0.2</v>
      </c>
    </row>
    <row r="14" ht="22" customHeight="1" spans="1:6">
      <c r="A14" s="26" t="s">
        <v>90</v>
      </c>
      <c r="B14" s="27">
        <f>SUM(B9:B13)</f>
        <v>14</v>
      </c>
      <c r="C14" s="27">
        <f>SUM(C9:C13)</f>
        <v>8</v>
      </c>
      <c r="D14" s="28">
        <f t="shared" si="0"/>
        <v>0.571428571428571</v>
      </c>
      <c r="E14" s="27">
        <f>SUM(E9:E13)</f>
        <v>1</v>
      </c>
      <c r="F14" s="29">
        <f t="shared" si="1"/>
        <v>0.0714285714285714</v>
      </c>
    </row>
  </sheetData>
  <mergeCells count="2">
    <mergeCell ref="A2:F2"/>
    <mergeCell ref="A7:F7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F14"/>
  <sheetViews>
    <sheetView showGridLines="0" zoomScale="70" zoomScaleNormal="70" topLeftCell="A3" workbookViewId="0">
      <selection activeCell="A1" sqref="A1"/>
    </sheetView>
  </sheetViews>
  <sheetFormatPr defaultColWidth="9" defaultRowHeight="14.4" outlineLevelCol="5"/>
  <cols>
    <col min="1" max="1" width="16" customWidth="1"/>
    <col min="2" max="6" width="14" customWidth="1"/>
  </cols>
  <sheetData>
    <row r="1" ht="8" customHeight="1"/>
    <row r="2" ht="36" customHeight="1" spans="1:6">
      <c r="A2" s="1" t="s">
        <v>91</v>
      </c>
    </row>
    <row r="3" ht="15.15"/>
    <row r="4" ht="22" customHeight="1" spans="1:6">
      <c r="A4" s="2" t="s">
        <v>27</v>
      </c>
      <c r="B4" s="3" t="s">
        <v>59</v>
      </c>
      <c r="C4" s="3" t="s">
        <v>16</v>
      </c>
      <c r="D4" s="3" t="s">
        <v>17</v>
      </c>
      <c r="E4" s="3" t="s">
        <v>15</v>
      </c>
      <c r="F4" s="4" t="s">
        <v>68</v>
      </c>
    </row>
    <row r="5" ht="22" customHeight="1" spans="1:6">
      <c r="A5" s="5">
        <v>33</v>
      </c>
      <c r="B5" s="6">
        <v>23</v>
      </c>
      <c r="C5" s="6">
        <v>8</v>
      </c>
      <c r="D5" s="7">
        <v>0.2424</v>
      </c>
      <c r="E5" s="7">
        <v>0.697</v>
      </c>
      <c r="F5" s="8">
        <v>6.6</v>
      </c>
    </row>
    <row r="6" ht="15.15"/>
    <row r="7" ht="26" customHeight="1" spans="1:6">
      <c r="A7" s="9" t="s">
        <v>84</v>
      </c>
      <c r="B7" s="10"/>
      <c r="C7" s="10"/>
      <c r="D7" s="10"/>
      <c r="E7" s="10"/>
      <c r="F7" s="11"/>
    </row>
    <row r="8" spans="1:6">
      <c r="A8" s="12" t="s">
        <v>60</v>
      </c>
      <c r="B8" s="13" t="s">
        <v>27</v>
      </c>
      <c r="C8" s="13" t="s">
        <v>59</v>
      </c>
      <c r="D8" s="13" t="s">
        <v>15</v>
      </c>
      <c r="E8" s="13" t="s">
        <v>16</v>
      </c>
      <c r="F8" s="14" t="s">
        <v>17</v>
      </c>
    </row>
    <row r="9" ht="20" customHeight="1" spans="1:6">
      <c r="A9" s="15" t="s">
        <v>85</v>
      </c>
      <c r="B9" s="16">
        <v>3</v>
      </c>
      <c r="C9" s="17">
        <v>1</v>
      </c>
      <c r="D9" s="18">
        <f t="shared" ref="D9:D14" si="0">C9/B9</f>
        <v>0.333333333333333</v>
      </c>
      <c r="E9" s="25">
        <v>2</v>
      </c>
      <c r="F9" s="19">
        <f t="shared" ref="F9:F14" si="1">E9/B9</f>
        <v>0.666666666666667</v>
      </c>
    </row>
    <row r="10" ht="20" customHeight="1" spans="1:6">
      <c r="A10" s="20" t="s">
        <v>86</v>
      </c>
      <c r="B10" s="21">
        <v>7</v>
      </c>
      <c r="C10" s="22">
        <v>5</v>
      </c>
      <c r="D10" s="23">
        <f t="shared" si="0"/>
        <v>0.714285714285714</v>
      </c>
      <c r="E10" s="30">
        <v>2</v>
      </c>
      <c r="F10" s="24">
        <f t="shared" si="1"/>
        <v>0.285714285714286</v>
      </c>
    </row>
    <row r="11" ht="20" customHeight="1" spans="1:6">
      <c r="A11" s="15" t="s">
        <v>87</v>
      </c>
      <c r="B11" s="16">
        <v>9</v>
      </c>
      <c r="C11" s="17">
        <v>6</v>
      </c>
      <c r="D11" s="18">
        <f t="shared" si="0"/>
        <v>0.666666666666667</v>
      </c>
      <c r="E11" s="25">
        <v>1</v>
      </c>
      <c r="F11" s="19">
        <f t="shared" si="1"/>
        <v>0.111111111111111</v>
      </c>
    </row>
    <row r="12" ht="20" customHeight="1" spans="1:6">
      <c r="A12" s="20" t="s">
        <v>88</v>
      </c>
      <c r="B12" s="21">
        <v>6</v>
      </c>
      <c r="C12" s="22">
        <v>5</v>
      </c>
      <c r="D12" s="23">
        <f t="shared" si="0"/>
        <v>0.833333333333333</v>
      </c>
      <c r="E12" s="30">
        <v>1</v>
      </c>
      <c r="F12" s="24">
        <f t="shared" si="1"/>
        <v>0.166666666666667</v>
      </c>
    </row>
    <row r="13" ht="20" customHeight="1" spans="1:6">
      <c r="A13" s="15" t="s">
        <v>89</v>
      </c>
      <c r="B13" s="16">
        <v>8</v>
      </c>
      <c r="C13" s="17">
        <v>6</v>
      </c>
      <c r="D13" s="18">
        <f t="shared" si="0"/>
        <v>0.75</v>
      </c>
      <c r="E13" s="25">
        <v>2</v>
      </c>
      <c r="F13" s="19">
        <f t="shared" si="1"/>
        <v>0.25</v>
      </c>
    </row>
    <row r="14" ht="22" customHeight="1" spans="1:6">
      <c r="A14" s="26" t="s">
        <v>90</v>
      </c>
      <c r="B14" s="27">
        <f>SUM(B9:B13)</f>
        <v>33</v>
      </c>
      <c r="C14" s="27">
        <f>SUM(C9:C13)</f>
        <v>23</v>
      </c>
      <c r="D14" s="28">
        <f t="shared" si="0"/>
        <v>0.696969696969697</v>
      </c>
      <c r="E14" s="27">
        <f>SUM(E9:E13)</f>
        <v>8</v>
      </c>
      <c r="F14" s="29">
        <f t="shared" si="1"/>
        <v>0.242424242424242</v>
      </c>
    </row>
  </sheetData>
  <mergeCells count="2">
    <mergeCell ref="A2:F2"/>
    <mergeCell ref="A7:F7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F14"/>
  <sheetViews>
    <sheetView showGridLines="0" tabSelected="1" zoomScale="85" zoomScaleNormal="85" workbookViewId="0">
      <selection activeCell="I7" sqref="I7"/>
    </sheetView>
  </sheetViews>
  <sheetFormatPr defaultColWidth="9" defaultRowHeight="14.4" outlineLevelCol="5"/>
  <cols>
    <col min="1" max="1" width="16" customWidth="1"/>
    <col min="2" max="6" width="14" customWidth="1"/>
  </cols>
  <sheetData>
    <row r="1" ht="8" customHeight="1"/>
    <row r="2" ht="36" customHeight="1" spans="1:6">
      <c r="A2" s="1" t="s">
        <v>92</v>
      </c>
    </row>
    <row r="3" ht="15.15"/>
    <row r="4" ht="22" customHeight="1" spans="1:6">
      <c r="A4" s="2" t="s">
        <v>27</v>
      </c>
      <c r="B4" s="3" t="s">
        <v>59</v>
      </c>
      <c r="C4" s="3" t="s">
        <v>16</v>
      </c>
      <c r="D4" s="3" t="s">
        <v>17</v>
      </c>
      <c r="E4" s="3" t="s">
        <v>15</v>
      </c>
      <c r="F4" s="4" t="s">
        <v>68</v>
      </c>
    </row>
    <row r="5" ht="22" customHeight="1" spans="1:6">
      <c r="A5" s="5">
        <v>8</v>
      </c>
      <c r="B5" s="6">
        <v>4</v>
      </c>
      <c r="C5" s="6">
        <v>0</v>
      </c>
      <c r="D5" s="7">
        <v>0</v>
      </c>
      <c r="E5" s="7">
        <v>0.5</v>
      </c>
      <c r="F5" s="8">
        <v>2</v>
      </c>
    </row>
    <row r="6" ht="15.15"/>
    <row r="7" ht="26" customHeight="1" spans="1:6">
      <c r="A7" s="9" t="s">
        <v>84</v>
      </c>
      <c r="B7" s="10"/>
      <c r="C7" s="10"/>
      <c r="D7" s="10"/>
      <c r="E7" s="10"/>
      <c r="F7" s="11"/>
    </row>
    <row r="8" spans="1:6">
      <c r="A8" s="12" t="s">
        <v>60</v>
      </c>
      <c r="B8" s="13" t="s">
        <v>27</v>
      </c>
      <c r="C8" s="13" t="s">
        <v>59</v>
      </c>
      <c r="D8" s="13" t="s">
        <v>15</v>
      </c>
      <c r="E8" s="13" t="s">
        <v>16</v>
      </c>
      <c r="F8" s="14" t="s">
        <v>17</v>
      </c>
    </row>
    <row r="9" ht="20" customHeight="1" spans="1:6">
      <c r="A9" s="15" t="s">
        <v>85</v>
      </c>
      <c r="B9" s="16">
        <v>0</v>
      </c>
      <c r="C9" s="17">
        <v>0</v>
      </c>
      <c r="D9" s="18">
        <v>0</v>
      </c>
      <c r="E9" s="16">
        <v>0</v>
      </c>
      <c r="F9" s="19">
        <v>0</v>
      </c>
    </row>
    <row r="10" ht="20" customHeight="1" spans="1:6">
      <c r="A10" s="20" t="s">
        <v>86</v>
      </c>
      <c r="B10" s="21">
        <v>2</v>
      </c>
      <c r="C10" s="22">
        <v>1</v>
      </c>
      <c r="D10" s="23">
        <f>C10/B10</f>
        <v>0.5</v>
      </c>
      <c r="E10" s="21">
        <v>0</v>
      </c>
      <c r="F10" s="24">
        <f>E10/B10</f>
        <v>0</v>
      </c>
    </row>
    <row r="11" ht="20" customHeight="1" spans="1:6">
      <c r="A11" s="15" t="s">
        <v>87</v>
      </c>
      <c r="B11" s="16">
        <v>2</v>
      </c>
      <c r="C11" s="17">
        <v>1</v>
      </c>
      <c r="D11" s="18">
        <f>C11/B11</f>
        <v>0.5</v>
      </c>
      <c r="E11" s="16">
        <v>0</v>
      </c>
      <c r="F11" s="19">
        <f>E11/B11</f>
        <v>0</v>
      </c>
    </row>
    <row r="12" ht="20" customHeight="1" spans="1:6">
      <c r="A12" s="20" t="s">
        <v>88</v>
      </c>
      <c r="B12" s="21">
        <v>2</v>
      </c>
      <c r="C12" s="22">
        <v>1</v>
      </c>
      <c r="D12" s="23">
        <f>C12/B12</f>
        <v>0.5</v>
      </c>
      <c r="E12" s="21">
        <v>0</v>
      </c>
      <c r="F12" s="24">
        <f>E12/B12</f>
        <v>0</v>
      </c>
    </row>
    <row r="13" ht="20" customHeight="1" spans="1:6">
      <c r="A13" s="15" t="s">
        <v>89</v>
      </c>
      <c r="B13" s="16">
        <v>2</v>
      </c>
      <c r="C13" s="17">
        <v>1</v>
      </c>
      <c r="D13" s="18">
        <f>C13/B13</f>
        <v>0.5</v>
      </c>
      <c r="E13" s="16">
        <v>0</v>
      </c>
      <c r="F13" s="19">
        <f>E13/B13</f>
        <v>0</v>
      </c>
    </row>
    <row r="14" ht="22" customHeight="1" spans="1:6">
      <c r="A14" s="26" t="s">
        <v>90</v>
      </c>
      <c r="B14" s="27">
        <f>SUM(B9:B13)</f>
        <v>8</v>
      </c>
      <c r="C14" s="27">
        <f>SUM(C9:C13)</f>
        <v>4</v>
      </c>
      <c r="D14" s="28">
        <f>C14/B14</f>
        <v>0.5</v>
      </c>
      <c r="E14" s="27">
        <f>SUM(E9:E13)</f>
        <v>0</v>
      </c>
      <c r="F14" s="29">
        <f>E14/B14</f>
        <v>0</v>
      </c>
    </row>
  </sheetData>
  <mergeCells count="2">
    <mergeCell ref="A2:F2"/>
    <mergeCell ref="A7:F7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F14"/>
  <sheetViews>
    <sheetView showGridLines="0" zoomScale="70" zoomScaleNormal="70" topLeftCell="A4" workbookViewId="0">
      <selection activeCell="A1" sqref="A1"/>
    </sheetView>
  </sheetViews>
  <sheetFormatPr defaultColWidth="9" defaultRowHeight="14.4" outlineLevelCol="5"/>
  <cols>
    <col min="1" max="1" width="16" customWidth="1"/>
    <col min="2" max="6" width="14" customWidth="1"/>
  </cols>
  <sheetData>
    <row r="1" ht="8" customHeight="1"/>
    <row r="2" ht="36" customHeight="1" spans="1:6">
      <c r="A2" s="1" t="s">
        <v>93</v>
      </c>
    </row>
    <row r="3" ht="15.15"/>
    <row r="4" ht="22" customHeight="1" spans="1:6">
      <c r="A4" s="2" t="s">
        <v>27</v>
      </c>
      <c r="B4" s="3" t="s">
        <v>59</v>
      </c>
      <c r="C4" s="3" t="s">
        <v>16</v>
      </c>
      <c r="D4" s="3" t="s">
        <v>17</v>
      </c>
      <c r="E4" s="3" t="s">
        <v>15</v>
      </c>
      <c r="F4" s="4" t="s">
        <v>68</v>
      </c>
    </row>
    <row r="5" ht="22" customHeight="1" spans="1:6">
      <c r="A5" s="5">
        <v>48</v>
      </c>
      <c r="B5" s="6">
        <v>25</v>
      </c>
      <c r="C5" s="6">
        <v>11</v>
      </c>
      <c r="D5" s="7">
        <v>0.2292</v>
      </c>
      <c r="E5" s="7">
        <v>0.5208</v>
      </c>
      <c r="F5" s="8">
        <v>9.6</v>
      </c>
    </row>
    <row r="6" ht="15.15"/>
    <row r="7" ht="26" customHeight="1" spans="1:6">
      <c r="A7" s="9" t="s">
        <v>84</v>
      </c>
      <c r="B7" s="10"/>
      <c r="C7" s="10"/>
      <c r="D7" s="10"/>
      <c r="E7" s="10"/>
      <c r="F7" s="11"/>
    </row>
    <row r="8" spans="1:6">
      <c r="A8" s="12" t="s">
        <v>60</v>
      </c>
      <c r="B8" s="13" t="s">
        <v>27</v>
      </c>
      <c r="C8" s="13" t="s">
        <v>59</v>
      </c>
      <c r="D8" s="13" t="s">
        <v>15</v>
      </c>
      <c r="E8" s="13" t="s">
        <v>16</v>
      </c>
      <c r="F8" s="14" t="s">
        <v>17</v>
      </c>
    </row>
    <row r="9" ht="20" customHeight="1" spans="1:6">
      <c r="A9" s="15" t="s">
        <v>85</v>
      </c>
      <c r="B9" s="16">
        <v>8</v>
      </c>
      <c r="C9" s="17">
        <v>6</v>
      </c>
      <c r="D9" s="18">
        <f t="shared" ref="D9:D14" si="0">C9/B9</f>
        <v>0.75</v>
      </c>
      <c r="E9" s="25">
        <v>2</v>
      </c>
      <c r="F9" s="19">
        <f t="shared" ref="F9:F14" si="1">E9/B9</f>
        <v>0.25</v>
      </c>
    </row>
    <row r="10" ht="20" customHeight="1" spans="1:6">
      <c r="A10" s="20" t="s">
        <v>86</v>
      </c>
      <c r="B10" s="21">
        <v>9</v>
      </c>
      <c r="C10" s="22">
        <v>2</v>
      </c>
      <c r="D10" s="23">
        <f t="shared" si="0"/>
        <v>0.222222222222222</v>
      </c>
      <c r="E10" s="30">
        <v>4</v>
      </c>
      <c r="F10" s="24">
        <f t="shared" si="1"/>
        <v>0.444444444444444</v>
      </c>
    </row>
    <row r="11" ht="20" customHeight="1" spans="1:6">
      <c r="A11" s="15" t="s">
        <v>87</v>
      </c>
      <c r="B11" s="16">
        <v>9</v>
      </c>
      <c r="C11" s="17">
        <v>5</v>
      </c>
      <c r="D11" s="18">
        <f t="shared" si="0"/>
        <v>0.555555555555556</v>
      </c>
      <c r="E11" s="16">
        <v>0</v>
      </c>
      <c r="F11" s="19">
        <f t="shared" si="1"/>
        <v>0</v>
      </c>
    </row>
    <row r="12" ht="20" customHeight="1" spans="1:6">
      <c r="A12" s="20" t="s">
        <v>88</v>
      </c>
      <c r="B12" s="21">
        <v>10</v>
      </c>
      <c r="C12" s="22">
        <v>7</v>
      </c>
      <c r="D12" s="23">
        <f t="shared" si="0"/>
        <v>0.7</v>
      </c>
      <c r="E12" s="30">
        <v>2</v>
      </c>
      <c r="F12" s="24">
        <f t="shared" si="1"/>
        <v>0.2</v>
      </c>
    </row>
    <row r="13" ht="20" customHeight="1" spans="1:6">
      <c r="A13" s="15" t="s">
        <v>89</v>
      </c>
      <c r="B13" s="16">
        <v>12</v>
      </c>
      <c r="C13" s="17">
        <v>5</v>
      </c>
      <c r="D13" s="18">
        <f t="shared" si="0"/>
        <v>0.416666666666667</v>
      </c>
      <c r="E13" s="25">
        <v>3</v>
      </c>
      <c r="F13" s="19">
        <f t="shared" si="1"/>
        <v>0.25</v>
      </c>
    </row>
    <row r="14" ht="22" customHeight="1" spans="1:6">
      <c r="A14" s="26" t="s">
        <v>90</v>
      </c>
      <c r="B14" s="27">
        <f>SUM(B9:B13)</f>
        <v>48</v>
      </c>
      <c r="C14" s="27">
        <f>SUM(C9:C13)</f>
        <v>25</v>
      </c>
      <c r="D14" s="28">
        <f t="shared" si="0"/>
        <v>0.520833333333333</v>
      </c>
      <c r="E14" s="27">
        <f>SUM(E9:E13)</f>
        <v>11</v>
      </c>
      <c r="F14" s="29">
        <f t="shared" si="1"/>
        <v>0.229166666666667</v>
      </c>
    </row>
  </sheetData>
  <mergeCells count="2">
    <mergeCell ref="A2:F2"/>
    <mergeCell ref="A7:F7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F14"/>
  <sheetViews>
    <sheetView showGridLines="0" zoomScale="55" zoomScaleNormal="55" workbookViewId="0">
      <selection activeCell="A1" sqref="A1"/>
    </sheetView>
  </sheetViews>
  <sheetFormatPr defaultColWidth="9" defaultRowHeight="14.4" outlineLevelCol="5"/>
  <cols>
    <col min="1" max="1" width="16" customWidth="1"/>
    <col min="2" max="6" width="14" customWidth="1"/>
  </cols>
  <sheetData>
    <row r="1" ht="8" customHeight="1"/>
    <row r="2" ht="36" customHeight="1" spans="1:6">
      <c r="A2" s="1" t="s">
        <v>94</v>
      </c>
    </row>
    <row r="3" ht="15.15"/>
    <row r="4" ht="22" customHeight="1" spans="1:6">
      <c r="A4" s="2" t="s">
        <v>27</v>
      </c>
      <c r="B4" s="3" t="s">
        <v>59</v>
      </c>
      <c r="C4" s="3" t="s">
        <v>16</v>
      </c>
      <c r="D4" s="3" t="s">
        <v>17</v>
      </c>
      <c r="E4" s="3" t="s">
        <v>15</v>
      </c>
      <c r="F4" s="4" t="s">
        <v>68</v>
      </c>
    </row>
    <row r="5" ht="22" customHeight="1" spans="1:6">
      <c r="A5" s="5">
        <v>22</v>
      </c>
      <c r="B5" s="6">
        <v>15</v>
      </c>
      <c r="C5" s="6">
        <v>5</v>
      </c>
      <c r="D5" s="7">
        <v>0.2273</v>
      </c>
      <c r="E5" s="7">
        <v>0.6818</v>
      </c>
      <c r="F5" s="8">
        <v>4.4</v>
      </c>
    </row>
    <row r="6" ht="15.15"/>
    <row r="7" ht="26" customHeight="1" spans="1:6">
      <c r="A7" s="9" t="s">
        <v>84</v>
      </c>
      <c r="B7" s="10"/>
      <c r="C7" s="10"/>
      <c r="D7" s="10"/>
      <c r="E7" s="10"/>
      <c r="F7" s="11"/>
    </row>
    <row r="8" spans="1:6">
      <c r="A8" s="12" t="s">
        <v>60</v>
      </c>
      <c r="B8" s="13" t="s">
        <v>27</v>
      </c>
      <c r="C8" s="13" t="s">
        <v>59</v>
      </c>
      <c r="D8" s="13" t="s">
        <v>15</v>
      </c>
      <c r="E8" s="13" t="s">
        <v>16</v>
      </c>
      <c r="F8" s="14" t="s">
        <v>17</v>
      </c>
    </row>
    <row r="9" ht="20" customHeight="1" spans="1:6">
      <c r="A9" s="15" t="s">
        <v>85</v>
      </c>
      <c r="B9" s="16">
        <v>1</v>
      </c>
      <c r="C9" s="17">
        <v>0</v>
      </c>
      <c r="D9" s="18">
        <f t="shared" ref="D9:D14" si="0">C9/B9</f>
        <v>0</v>
      </c>
      <c r="E9" s="16">
        <v>0</v>
      </c>
      <c r="F9" s="19">
        <f t="shared" ref="F9:F14" si="1">E9/B9</f>
        <v>0</v>
      </c>
    </row>
    <row r="10" ht="20" customHeight="1" spans="1:6">
      <c r="A10" s="20" t="s">
        <v>86</v>
      </c>
      <c r="B10" s="21">
        <v>7</v>
      </c>
      <c r="C10" s="22">
        <v>4</v>
      </c>
      <c r="D10" s="23">
        <f t="shared" si="0"/>
        <v>0.571428571428571</v>
      </c>
      <c r="E10" s="30">
        <v>3</v>
      </c>
      <c r="F10" s="24">
        <f t="shared" si="1"/>
        <v>0.428571428571429</v>
      </c>
    </row>
    <row r="11" ht="20" customHeight="1" spans="1:6">
      <c r="A11" s="15" t="s">
        <v>87</v>
      </c>
      <c r="B11" s="16">
        <v>4</v>
      </c>
      <c r="C11" s="17">
        <v>4</v>
      </c>
      <c r="D11" s="18">
        <f t="shared" si="0"/>
        <v>1</v>
      </c>
      <c r="E11" s="16">
        <v>0</v>
      </c>
      <c r="F11" s="19">
        <f t="shared" si="1"/>
        <v>0</v>
      </c>
    </row>
    <row r="12" ht="20" customHeight="1" spans="1:6">
      <c r="A12" s="20" t="s">
        <v>88</v>
      </c>
      <c r="B12" s="21">
        <v>4</v>
      </c>
      <c r="C12" s="22">
        <v>4</v>
      </c>
      <c r="D12" s="23">
        <f t="shared" si="0"/>
        <v>1</v>
      </c>
      <c r="E12" s="21">
        <v>0</v>
      </c>
      <c r="F12" s="24">
        <f t="shared" si="1"/>
        <v>0</v>
      </c>
    </row>
    <row r="13" ht="20" customHeight="1" spans="1:6">
      <c r="A13" s="15" t="s">
        <v>89</v>
      </c>
      <c r="B13" s="16">
        <v>6</v>
      </c>
      <c r="C13" s="17">
        <v>3</v>
      </c>
      <c r="D13" s="18">
        <f t="shared" si="0"/>
        <v>0.5</v>
      </c>
      <c r="E13" s="25">
        <v>2</v>
      </c>
      <c r="F13" s="19">
        <f t="shared" si="1"/>
        <v>0.333333333333333</v>
      </c>
    </row>
    <row r="14" ht="22" customHeight="1" spans="1:6">
      <c r="A14" s="26" t="s">
        <v>90</v>
      </c>
      <c r="B14" s="27">
        <f>SUM(B9:B13)</f>
        <v>22</v>
      </c>
      <c r="C14" s="27">
        <f>SUM(C9:C13)</f>
        <v>15</v>
      </c>
      <c r="D14" s="28">
        <f t="shared" si="0"/>
        <v>0.681818181818182</v>
      </c>
      <c r="E14" s="27">
        <f>SUM(E9:E13)</f>
        <v>5</v>
      </c>
      <c r="F14" s="29">
        <f t="shared" si="1"/>
        <v>0.227272727272727</v>
      </c>
    </row>
  </sheetData>
  <mergeCells count="2">
    <mergeCell ref="A2:F2"/>
    <mergeCell ref="A7:F7"/>
  </mergeCells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F14"/>
  <sheetViews>
    <sheetView showGridLines="0" zoomScale="55" zoomScaleNormal="55" topLeftCell="A9" workbookViewId="0">
      <selection activeCell="A1" sqref="A1"/>
    </sheetView>
  </sheetViews>
  <sheetFormatPr defaultColWidth="9" defaultRowHeight="14.4" outlineLevelCol="5"/>
  <cols>
    <col min="1" max="1" width="16" customWidth="1"/>
    <col min="2" max="6" width="14" customWidth="1"/>
  </cols>
  <sheetData>
    <row r="1" ht="8" customHeight="1"/>
    <row r="2" ht="36" customHeight="1" spans="1:6">
      <c r="A2" s="1" t="s">
        <v>95</v>
      </c>
    </row>
    <row r="3" ht="15.15"/>
    <row r="4" ht="22" customHeight="1" spans="1:6">
      <c r="A4" s="2" t="s">
        <v>27</v>
      </c>
      <c r="B4" s="3" t="s">
        <v>59</v>
      </c>
      <c r="C4" s="3" t="s">
        <v>16</v>
      </c>
      <c r="D4" s="3" t="s">
        <v>17</v>
      </c>
      <c r="E4" s="3" t="s">
        <v>15</v>
      </c>
      <c r="F4" s="4" t="s">
        <v>68</v>
      </c>
    </row>
    <row r="5" ht="22" customHeight="1" spans="1:6">
      <c r="A5" s="5">
        <v>23</v>
      </c>
      <c r="B5" s="6">
        <v>21</v>
      </c>
      <c r="C5" s="6">
        <v>1</v>
      </c>
      <c r="D5" s="7">
        <v>0.0435</v>
      </c>
      <c r="E5" s="7">
        <v>0.913</v>
      </c>
      <c r="F5" s="8">
        <v>5.75</v>
      </c>
    </row>
    <row r="6" ht="15.15"/>
    <row r="7" ht="26" customHeight="1" spans="1:6">
      <c r="A7" s="9" t="s">
        <v>84</v>
      </c>
      <c r="B7" s="10"/>
      <c r="C7" s="10"/>
      <c r="D7" s="10"/>
      <c r="E7" s="10"/>
      <c r="F7" s="11"/>
    </row>
    <row r="8" spans="1:6">
      <c r="A8" s="12" t="s">
        <v>60</v>
      </c>
      <c r="B8" s="13" t="s">
        <v>27</v>
      </c>
      <c r="C8" s="13" t="s">
        <v>59</v>
      </c>
      <c r="D8" s="13" t="s">
        <v>15</v>
      </c>
      <c r="E8" s="13" t="s">
        <v>16</v>
      </c>
      <c r="F8" s="14" t="s">
        <v>17</v>
      </c>
    </row>
    <row r="9" ht="20" customHeight="1" spans="1:6">
      <c r="A9" s="15" t="s">
        <v>85</v>
      </c>
      <c r="B9" s="16">
        <v>0</v>
      </c>
      <c r="C9" s="17">
        <v>0</v>
      </c>
      <c r="D9" s="18">
        <v>0</v>
      </c>
      <c r="E9" s="16">
        <v>0</v>
      </c>
      <c r="F9" s="19">
        <v>0</v>
      </c>
    </row>
    <row r="10" ht="20" customHeight="1" spans="1:6">
      <c r="A10" s="20" t="s">
        <v>86</v>
      </c>
      <c r="B10" s="21">
        <v>5</v>
      </c>
      <c r="C10" s="22">
        <v>5</v>
      </c>
      <c r="D10" s="23">
        <f>C10/B10</f>
        <v>1</v>
      </c>
      <c r="E10" s="21">
        <v>0</v>
      </c>
      <c r="F10" s="24">
        <f>E10/B10</f>
        <v>0</v>
      </c>
    </row>
    <row r="11" ht="20" customHeight="1" spans="1:6">
      <c r="A11" s="15" t="s">
        <v>87</v>
      </c>
      <c r="B11" s="16">
        <v>5</v>
      </c>
      <c r="C11" s="17">
        <v>4</v>
      </c>
      <c r="D11" s="18">
        <f>C11/B11</f>
        <v>0.8</v>
      </c>
      <c r="E11" s="16">
        <v>0</v>
      </c>
      <c r="F11" s="19">
        <f>E11/B11</f>
        <v>0</v>
      </c>
    </row>
    <row r="12" ht="20" customHeight="1" spans="1:6">
      <c r="A12" s="20" t="s">
        <v>88</v>
      </c>
      <c r="B12" s="21">
        <v>5</v>
      </c>
      <c r="C12" s="22">
        <v>4</v>
      </c>
      <c r="D12" s="23">
        <f>C12/B12</f>
        <v>0.8</v>
      </c>
      <c r="E12" s="30">
        <v>1</v>
      </c>
      <c r="F12" s="24">
        <f>E12/B12</f>
        <v>0.2</v>
      </c>
    </row>
    <row r="13" ht="20" customHeight="1" spans="1:6">
      <c r="A13" s="15" t="s">
        <v>89</v>
      </c>
      <c r="B13" s="16">
        <v>8</v>
      </c>
      <c r="C13" s="17">
        <v>8</v>
      </c>
      <c r="D13" s="18">
        <f>C13/B13</f>
        <v>1</v>
      </c>
      <c r="E13" s="16">
        <v>0</v>
      </c>
      <c r="F13" s="19">
        <f>E13/B13</f>
        <v>0</v>
      </c>
    </row>
    <row r="14" ht="22" customHeight="1" spans="1:6">
      <c r="A14" s="26" t="s">
        <v>90</v>
      </c>
      <c r="B14" s="27">
        <f>SUM(B9:B13)</f>
        <v>23</v>
      </c>
      <c r="C14" s="27">
        <f>SUM(C9:C13)</f>
        <v>21</v>
      </c>
      <c r="D14" s="28">
        <f>C14/B14</f>
        <v>0.91304347826087</v>
      </c>
      <c r="E14" s="27">
        <f>SUM(E9:E13)</f>
        <v>1</v>
      </c>
      <c r="F14" s="29">
        <f>E14/B14</f>
        <v>0.0434782608695652</v>
      </c>
    </row>
  </sheetData>
  <mergeCells count="2">
    <mergeCell ref="A2:F2"/>
    <mergeCell ref="A7:F7"/>
  </mergeCells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F14"/>
  <sheetViews>
    <sheetView showGridLines="0" zoomScale="70" zoomScaleNormal="70" topLeftCell="A6" workbookViewId="0">
      <selection activeCell="A1" sqref="A1"/>
    </sheetView>
  </sheetViews>
  <sheetFormatPr defaultColWidth="9" defaultRowHeight="14.4" outlineLevelCol="5"/>
  <cols>
    <col min="1" max="1" width="16" customWidth="1"/>
    <col min="2" max="6" width="14" customWidth="1"/>
  </cols>
  <sheetData>
    <row r="1" ht="8" customHeight="1"/>
    <row r="2" ht="36" customHeight="1" spans="1:6">
      <c r="A2" s="1" t="s">
        <v>96</v>
      </c>
    </row>
    <row r="3" ht="15.15"/>
    <row r="4" ht="22" customHeight="1" spans="1:6">
      <c r="A4" s="2" t="s">
        <v>27</v>
      </c>
      <c r="B4" s="3" t="s">
        <v>59</v>
      </c>
      <c r="C4" s="3" t="s">
        <v>16</v>
      </c>
      <c r="D4" s="3" t="s">
        <v>17</v>
      </c>
      <c r="E4" s="3" t="s">
        <v>15</v>
      </c>
      <c r="F4" s="4" t="s">
        <v>68</v>
      </c>
    </row>
    <row r="5" ht="22" customHeight="1" spans="1:6">
      <c r="A5" s="5">
        <v>12</v>
      </c>
      <c r="B5" s="6">
        <v>8</v>
      </c>
      <c r="C5" s="6">
        <v>1</v>
      </c>
      <c r="D5" s="7">
        <v>0.0833</v>
      </c>
      <c r="E5" s="7">
        <v>0.6667</v>
      </c>
      <c r="F5" s="8">
        <v>3</v>
      </c>
    </row>
    <row r="6" ht="15.15"/>
    <row r="7" ht="26" customHeight="1" spans="1:6">
      <c r="A7" s="9" t="s">
        <v>84</v>
      </c>
      <c r="B7" s="10"/>
      <c r="C7" s="10"/>
      <c r="D7" s="10"/>
      <c r="E7" s="10"/>
      <c r="F7" s="11"/>
    </row>
    <row r="8" spans="1:6">
      <c r="A8" s="12" t="s">
        <v>60</v>
      </c>
      <c r="B8" s="13" t="s">
        <v>27</v>
      </c>
      <c r="C8" s="13" t="s">
        <v>59</v>
      </c>
      <c r="D8" s="13" t="s">
        <v>15</v>
      </c>
      <c r="E8" s="13" t="s">
        <v>16</v>
      </c>
      <c r="F8" s="14" t="s">
        <v>17</v>
      </c>
    </row>
    <row r="9" ht="20" customHeight="1" spans="1:6">
      <c r="A9" s="15" t="s">
        <v>85</v>
      </c>
      <c r="B9" s="16">
        <v>1</v>
      </c>
      <c r="C9" s="17">
        <v>0</v>
      </c>
      <c r="D9" s="18">
        <f>C9/B9</f>
        <v>0</v>
      </c>
      <c r="E9" s="25">
        <v>1</v>
      </c>
      <c r="F9" s="19">
        <f>E9/B9</f>
        <v>1</v>
      </c>
    </row>
    <row r="10" ht="20" customHeight="1" spans="1:6">
      <c r="A10" s="20" t="s">
        <v>86</v>
      </c>
      <c r="B10" s="21">
        <v>0</v>
      </c>
      <c r="C10" s="22">
        <v>0</v>
      </c>
      <c r="D10" s="23">
        <v>0</v>
      </c>
      <c r="E10" s="21">
        <v>0</v>
      </c>
      <c r="F10" s="24">
        <v>0</v>
      </c>
    </row>
    <row r="11" ht="20" customHeight="1" spans="1:6">
      <c r="A11" s="15" t="s">
        <v>87</v>
      </c>
      <c r="B11" s="16">
        <v>3</v>
      </c>
      <c r="C11" s="17">
        <v>2</v>
      </c>
      <c r="D11" s="18">
        <f>C11/B11</f>
        <v>0.666666666666667</v>
      </c>
      <c r="E11" s="16">
        <v>0</v>
      </c>
      <c r="F11" s="19">
        <f>E11/B11</f>
        <v>0</v>
      </c>
    </row>
    <row r="12" ht="20" customHeight="1" spans="1:6">
      <c r="A12" s="20" t="s">
        <v>88</v>
      </c>
      <c r="B12" s="21">
        <v>2</v>
      </c>
      <c r="C12" s="22">
        <v>1</v>
      </c>
      <c r="D12" s="23">
        <f>C12/B12</f>
        <v>0.5</v>
      </c>
      <c r="E12" s="21">
        <v>0</v>
      </c>
      <c r="F12" s="24">
        <f>E12/B12</f>
        <v>0</v>
      </c>
    </row>
    <row r="13" ht="20" customHeight="1" spans="1:6">
      <c r="A13" s="15" t="s">
        <v>89</v>
      </c>
      <c r="B13" s="16">
        <v>6</v>
      </c>
      <c r="C13" s="17">
        <v>5</v>
      </c>
      <c r="D13" s="18">
        <f>C13/B13</f>
        <v>0.833333333333333</v>
      </c>
      <c r="E13" s="16">
        <v>0</v>
      </c>
      <c r="F13" s="19">
        <f>E13/B13</f>
        <v>0</v>
      </c>
    </row>
    <row r="14" ht="22" customHeight="1" spans="1:6">
      <c r="A14" s="26" t="s">
        <v>90</v>
      </c>
      <c r="B14" s="27">
        <f>SUM(B9:B13)</f>
        <v>12</v>
      </c>
      <c r="C14" s="27">
        <f>SUM(C9:C13)</f>
        <v>8</v>
      </c>
      <c r="D14" s="28">
        <f>C14/B14</f>
        <v>0.666666666666667</v>
      </c>
      <c r="E14" s="27">
        <f>SUM(E9:E13)</f>
        <v>1</v>
      </c>
      <c r="F14" s="29">
        <f>E14/B14</f>
        <v>0.0833333333333333</v>
      </c>
    </row>
  </sheetData>
  <mergeCells count="2">
    <mergeCell ref="A2:F2"/>
    <mergeCell ref="A7:F7"/>
  </mergeCells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F14"/>
  <sheetViews>
    <sheetView showGridLines="0" zoomScale="70" zoomScaleNormal="70" topLeftCell="A6" workbookViewId="0">
      <selection activeCell="A1" sqref="A1"/>
    </sheetView>
  </sheetViews>
  <sheetFormatPr defaultColWidth="9" defaultRowHeight="14.4" outlineLevelCol="5"/>
  <cols>
    <col min="1" max="1" width="16" customWidth="1"/>
    <col min="2" max="6" width="14" customWidth="1"/>
  </cols>
  <sheetData>
    <row r="1" ht="8" customHeight="1"/>
    <row r="2" ht="36" customHeight="1" spans="1:6">
      <c r="A2" s="1" t="s">
        <v>97</v>
      </c>
    </row>
    <row r="3" ht="15.15"/>
    <row r="4" ht="22" customHeight="1" spans="1:6">
      <c r="A4" s="2" t="s">
        <v>27</v>
      </c>
      <c r="B4" s="3" t="s">
        <v>59</v>
      </c>
      <c r="C4" s="3" t="s">
        <v>16</v>
      </c>
      <c r="D4" s="3" t="s">
        <v>17</v>
      </c>
      <c r="E4" s="3" t="s">
        <v>15</v>
      </c>
      <c r="F4" s="4" t="s">
        <v>68</v>
      </c>
    </row>
    <row r="5" ht="22" customHeight="1" spans="1:6">
      <c r="A5" s="5">
        <v>32</v>
      </c>
      <c r="B5" s="6">
        <v>23</v>
      </c>
      <c r="C5" s="6">
        <v>3</v>
      </c>
      <c r="D5" s="7">
        <v>0.0938</v>
      </c>
      <c r="E5" s="7">
        <v>0.7188</v>
      </c>
      <c r="F5" s="8">
        <v>6.4</v>
      </c>
    </row>
    <row r="6" ht="15.15"/>
    <row r="7" ht="26" customHeight="1" spans="1:6">
      <c r="A7" s="9" t="s">
        <v>84</v>
      </c>
      <c r="B7" s="10"/>
      <c r="C7" s="10"/>
      <c r="D7" s="10"/>
      <c r="E7" s="10"/>
      <c r="F7" s="11"/>
    </row>
    <row r="8" spans="1:6">
      <c r="A8" s="12" t="s">
        <v>60</v>
      </c>
      <c r="B8" s="13" t="s">
        <v>27</v>
      </c>
      <c r="C8" s="13" t="s">
        <v>59</v>
      </c>
      <c r="D8" s="13" t="s">
        <v>15</v>
      </c>
      <c r="E8" s="13" t="s">
        <v>16</v>
      </c>
      <c r="F8" s="14" t="s">
        <v>17</v>
      </c>
    </row>
    <row r="9" ht="20" customHeight="1" spans="1:6">
      <c r="A9" s="15" t="s">
        <v>85</v>
      </c>
      <c r="B9" s="16">
        <v>4</v>
      </c>
      <c r="C9" s="17">
        <v>1</v>
      </c>
      <c r="D9" s="18">
        <f t="shared" ref="D9:D14" si="0">C9/B9</f>
        <v>0.25</v>
      </c>
      <c r="E9" s="25">
        <v>1</v>
      </c>
      <c r="F9" s="19">
        <f t="shared" ref="F9:F14" si="1">E9/B9</f>
        <v>0.25</v>
      </c>
    </row>
    <row r="10" ht="20" customHeight="1" spans="1:6">
      <c r="A10" s="20" t="s">
        <v>86</v>
      </c>
      <c r="B10" s="21">
        <v>8</v>
      </c>
      <c r="C10" s="22">
        <v>7</v>
      </c>
      <c r="D10" s="23">
        <f t="shared" si="0"/>
        <v>0.875</v>
      </c>
      <c r="E10" s="21">
        <v>0</v>
      </c>
      <c r="F10" s="24">
        <f t="shared" si="1"/>
        <v>0</v>
      </c>
    </row>
    <row r="11" ht="20" customHeight="1" spans="1:6">
      <c r="A11" s="15" t="s">
        <v>87</v>
      </c>
      <c r="B11" s="16">
        <v>5</v>
      </c>
      <c r="C11" s="17">
        <v>3</v>
      </c>
      <c r="D11" s="18">
        <f t="shared" si="0"/>
        <v>0.6</v>
      </c>
      <c r="E11" s="16">
        <v>0</v>
      </c>
      <c r="F11" s="19">
        <f t="shared" si="1"/>
        <v>0</v>
      </c>
    </row>
    <row r="12" ht="20" customHeight="1" spans="1:6">
      <c r="A12" s="20" t="s">
        <v>88</v>
      </c>
      <c r="B12" s="21">
        <v>9</v>
      </c>
      <c r="C12" s="22">
        <v>7</v>
      </c>
      <c r="D12" s="23">
        <f t="shared" si="0"/>
        <v>0.777777777777778</v>
      </c>
      <c r="E12" s="30">
        <v>2</v>
      </c>
      <c r="F12" s="24">
        <f t="shared" si="1"/>
        <v>0.222222222222222</v>
      </c>
    </row>
    <row r="13" ht="20" customHeight="1" spans="1:6">
      <c r="A13" s="15" t="s">
        <v>89</v>
      </c>
      <c r="B13" s="16">
        <v>6</v>
      </c>
      <c r="C13" s="17">
        <v>5</v>
      </c>
      <c r="D13" s="18">
        <f t="shared" si="0"/>
        <v>0.833333333333333</v>
      </c>
      <c r="E13" s="16">
        <v>0</v>
      </c>
      <c r="F13" s="19">
        <f t="shared" si="1"/>
        <v>0</v>
      </c>
    </row>
    <row r="14" ht="22" customHeight="1" spans="1:6">
      <c r="A14" s="26" t="s">
        <v>90</v>
      </c>
      <c r="B14" s="27">
        <f>SUM(B9:B13)</f>
        <v>32</v>
      </c>
      <c r="C14" s="27">
        <f>SUM(C9:C13)</f>
        <v>23</v>
      </c>
      <c r="D14" s="28">
        <f t="shared" si="0"/>
        <v>0.71875</v>
      </c>
      <c r="E14" s="27">
        <f>SUM(E9:E13)</f>
        <v>3</v>
      </c>
      <c r="F14" s="29">
        <f t="shared" si="1"/>
        <v>0.09375</v>
      </c>
    </row>
  </sheetData>
  <mergeCells count="2">
    <mergeCell ref="A2:F2"/>
    <mergeCell ref="A7:F7"/>
  </mergeCell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F14"/>
  <sheetViews>
    <sheetView showGridLines="0" zoomScale="70" zoomScaleNormal="70" topLeftCell="A5" workbookViewId="0">
      <selection activeCell="A1" sqref="A1"/>
    </sheetView>
  </sheetViews>
  <sheetFormatPr defaultColWidth="9" defaultRowHeight="14.4" outlineLevelCol="5"/>
  <cols>
    <col min="1" max="1" width="16" customWidth="1"/>
    <col min="2" max="6" width="14" customWidth="1"/>
  </cols>
  <sheetData>
    <row r="1" ht="8" customHeight="1"/>
    <row r="2" ht="36" customHeight="1" spans="1:6">
      <c r="A2" s="1" t="s">
        <v>98</v>
      </c>
    </row>
    <row r="3" ht="15.15"/>
    <row r="4" ht="22" customHeight="1" spans="1:6">
      <c r="A4" s="2" t="s">
        <v>27</v>
      </c>
      <c r="B4" s="3" t="s">
        <v>59</v>
      </c>
      <c r="C4" s="3" t="s">
        <v>16</v>
      </c>
      <c r="D4" s="3" t="s">
        <v>17</v>
      </c>
      <c r="E4" s="3" t="s">
        <v>15</v>
      </c>
      <c r="F4" s="4" t="s">
        <v>68</v>
      </c>
    </row>
    <row r="5" ht="22" customHeight="1" spans="1:6">
      <c r="A5" s="5">
        <v>21</v>
      </c>
      <c r="B5" s="6">
        <v>14</v>
      </c>
      <c r="C5" s="6">
        <v>4</v>
      </c>
      <c r="D5" s="7">
        <v>0.1905</v>
      </c>
      <c r="E5" s="7">
        <v>0.6667</v>
      </c>
      <c r="F5" s="8">
        <v>5.25</v>
      </c>
    </row>
    <row r="6" ht="15.15"/>
    <row r="7" ht="26" customHeight="1" spans="1:6">
      <c r="A7" s="9" t="s">
        <v>84</v>
      </c>
      <c r="B7" s="10"/>
      <c r="C7" s="10"/>
      <c r="D7" s="10"/>
      <c r="E7" s="10"/>
      <c r="F7" s="11"/>
    </row>
    <row r="8" spans="1:6">
      <c r="A8" s="12" t="s">
        <v>60</v>
      </c>
      <c r="B8" s="13" t="s">
        <v>27</v>
      </c>
      <c r="C8" s="13" t="s">
        <v>59</v>
      </c>
      <c r="D8" s="13" t="s">
        <v>15</v>
      </c>
      <c r="E8" s="13" t="s">
        <v>16</v>
      </c>
      <c r="F8" s="14" t="s">
        <v>17</v>
      </c>
    </row>
    <row r="9" ht="20" customHeight="1" spans="1:6">
      <c r="A9" s="15" t="s">
        <v>85</v>
      </c>
      <c r="B9" s="16">
        <v>0</v>
      </c>
      <c r="C9" s="17">
        <v>0</v>
      </c>
      <c r="D9" s="18">
        <v>0</v>
      </c>
      <c r="E9" s="16">
        <v>0</v>
      </c>
      <c r="F9" s="19">
        <v>0</v>
      </c>
    </row>
    <row r="10" ht="20" customHeight="1" spans="1:6">
      <c r="A10" s="20" t="s">
        <v>86</v>
      </c>
      <c r="B10" s="21">
        <v>6</v>
      </c>
      <c r="C10" s="22">
        <v>4</v>
      </c>
      <c r="D10" s="23">
        <f>C10/B10</f>
        <v>0.666666666666667</v>
      </c>
      <c r="E10" s="30">
        <v>2</v>
      </c>
      <c r="F10" s="24">
        <f>E10/B10</f>
        <v>0.333333333333333</v>
      </c>
    </row>
    <row r="11" ht="20" customHeight="1" spans="1:6">
      <c r="A11" s="15" t="s">
        <v>87</v>
      </c>
      <c r="B11" s="16">
        <v>6</v>
      </c>
      <c r="C11" s="17">
        <v>2</v>
      </c>
      <c r="D11" s="18">
        <f>C11/B11</f>
        <v>0.333333333333333</v>
      </c>
      <c r="E11" s="25">
        <v>1</v>
      </c>
      <c r="F11" s="19">
        <f>E11/B11</f>
        <v>0.166666666666667</v>
      </c>
    </row>
    <row r="12" ht="20" customHeight="1" spans="1:6">
      <c r="A12" s="20" t="s">
        <v>88</v>
      </c>
      <c r="B12" s="21">
        <v>4</v>
      </c>
      <c r="C12" s="22">
        <v>4</v>
      </c>
      <c r="D12" s="23">
        <f>C12/B12</f>
        <v>1</v>
      </c>
      <c r="E12" s="21">
        <v>0</v>
      </c>
      <c r="F12" s="24">
        <f>E12/B12</f>
        <v>0</v>
      </c>
    </row>
    <row r="13" ht="20" customHeight="1" spans="1:6">
      <c r="A13" s="15" t="s">
        <v>89</v>
      </c>
      <c r="B13" s="16">
        <v>5</v>
      </c>
      <c r="C13" s="17">
        <v>4</v>
      </c>
      <c r="D13" s="18">
        <f>C13/B13</f>
        <v>0.8</v>
      </c>
      <c r="E13" s="25">
        <v>1</v>
      </c>
      <c r="F13" s="19">
        <f>E13/B13</f>
        <v>0.2</v>
      </c>
    </row>
    <row r="14" ht="22" customHeight="1" spans="1:6">
      <c r="A14" s="26" t="s">
        <v>90</v>
      </c>
      <c r="B14" s="27">
        <f>SUM(B9:B13)</f>
        <v>21</v>
      </c>
      <c r="C14" s="27">
        <f>SUM(C9:C13)</f>
        <v>14</v>
      </c>
      <c r="D14" s="28">
        <f>C14/B14</f>
        <v>0.666666666666667</v>
      </c>
      <c r="E14" s="27">
        <f>SUM(E9:E13)</f>
        <v>4</v>
      </c>
      <c r="F14" s="29">
        <f>E14/B14</f>
        <v>0.19047619047619</v>
      </c>
    </row>
  </sheetData>
  <mergeCells count="2">
    <mergeCell ref="A2:F2"/>
    <mergeCell ref="A7:F7"/>
  </mergeCells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F14"/>
  <sheetViews>
    <sheetView showGridLines="0" zoomScale="85" zoomScaleNormal="85" topLeftCell="A3" workbookViewId="0">
      <selection activeCell="A1" sqref="A1"/>
    </sheetView>
  </sheetViews>
  <sheetFormatPr defaultColWidth="9" defaultRowHeight="14.4" outlineLevelCol="5"/>
  <cols>
    <col min="1" max="1" width="16" customWidth="1"/>
    <col min="2" max="6" width="14" customWidth="1"/>
  </cols>
  <sheetData>
    <row r="1" ht="8" customHeight="1"/>
    <row r="2" ht="36" customHeight="1" spans="1:6">
      <c r="A2" s="1" t="s">
        <v>99</v>
      </c>
    </row>
    <row r="3" ht="15.15"/>
    <row r="4" ht="22" customHeight="1" spans="1:6">
      <c r="A4" s="2" t="s">
        <v>27</v>
      </c>
      <c r="B4" s="3" t="s">
        <v>59</v>
      </c>
      <c r="C4" s="3" t="s">
        <v>16</v>
      </c>
      <c r="D4" s="3" t="s">
        <v>17</v>
      </c>
      <c r="E4" s="3" t="s">
        <v>15</v>
      </c>
      <c r="F4" s="4" t="s">
        <v>68</v>
      </c>
    </row>
    <row r="5" ht="22" customHeight="1" spans="1:6">
      <c r="A5" s="5">
        <v>26</v>
      </c>
      <c r="B5" s="6">
        <v>17</v>
      </c>
      <c r="C5" s="6">
        <v>4</v>
      </c>
      <c r="D5" s="7">
        <v>0.1538</v>
      </c>
      <c r="E5" s="7">
        <v>0.6538</v>
      </c>
      <c r="F5" s="8">
        <v>5.2</v>
      </c>
    </row>
    <row r="6" ht="15.15"/>
    <row r="7" ht="26" customHeight="1" spans="1:6">
      <c r="A7" s="9" t="s">
        <v>84</v>
      </c>
      <c r="B7" s="10"/>
      <c r="C7" s="10"/>
      <c r="D7" s="10"/>
      <c r="E7" s="10"/>
      <c r="F7" s="11"/>
    </row>
    <row r="8" spans="1:6">
      <c r="A8" s="12" t="s">
        <v>60</v>
      </c>
      <c r="B8" s="13" t="s">
        <v>27</v>
      </c>
      <c r="C8" s="13" t="s">
        <v>59</v>
      </c>
      <c r="D8" s="13" t="s">
        <v>15</v>
      </c>
      <c r="E8" s="13" t="s">
        <v>16</v>
      </c>
      <c r="F8" s="14" t="s">
        <v>17</v>
      </c>
    </row>
    <row r="9" ht="20" customHeight="1" spans="1:6">
      <c r="A9" s="15" t="s">
        <v>85</v>
      </c>
      <c r="B9" s="16">
        <v>6</v>
      </c>
      <c r="C9" s="17">
        <v>3</v>
      </c>
      <c r="D9" s="18">
        <f t="shared" ref="D9:D14" si="0">C9/B9</f>
        <v>0.5</v>
      </c>
      <c r="E9" s="25">
        <v>1</v>
      </c>
      <c r="F9" s="19">
        <f t="shared" ref="F9:F14" si="1">E9/B9</f>
        <v>0.166666666666667</v>
      </c>
    </row>
    <row r="10" ht="20" customHeight="1" spans="1:6">
      <c r="A10" s="20" t="s">
        <v>86</v>
      </c>
      <c r="B10" s="21">
        <v>7</v>
      </c>
      <c r="C10" s="22">
        <v>5</v>
      </c>
      <c r="D10" s="23">
        <f t="shared" si="0"/>
        <v>0.714285714285714</v>
      </c>
      <c r="E10" s="30">
        <v>1</v>
      </c>
      <c r="F10" s="24">
        <f t="shared" si="1"/>
        <v>0.142857142857143</v>
      </c>
    </row>
    <row r="11" ht="20" customHeight="1" spans="1:6">
      <c r="A11" s="15" t="s">
        <v>87</v>
      </c>
      <c r="B11" s="16">
        <v>4</v>
      </c>
      <c r="C11" s="17">
        <v>2</v>
      </c>
      <c r="D11" s="18">
        <f t="shared" si="0"/>
        <v>0.5</v>
      </c>
      <c r="E11" s="25">
        <v>1</v>
      </c>
      <c r="F11" s="19">
        <f t="shared" si="1"/>
        <v>0.25</v>
      </c>
    </row>
    <row r="12" ht="20" customHeight="1" spans="1:6">
      <c r="A12" s="20" t="s">
        <v>88</v>
      </c>
      <c r="B12" s="21">
        <v>4</v>
      </c>
      <c r="C12" s="22">
        <v>3</v>
      </c>
      <c r="D12" s="23">
        <f t="shared" si="0"/>
        <v>0.75</v>
      </c>
      <c r="E12" s="30">
        <v>1</v>
      </c>
      <c r="F12" s="24">
        <f t="shared" si="1"/>
        <v>0.25</v>
      </c>
    </row>
    <row r="13" ht="20" customHeight="1" spans="1:6">
      <c r="A13" s="15" t="s">
        <v>89</v>
      </c>
      <c r="B13" s="16">
        <v>5</v>
      </c>
      <c r="C13" s="17">
        <v>4</v>
      </c>
      <c r="D13" s="18">
        <f t="shared" si="0"/>
        <v>0.8</v>
      </c>
      <c r="E13" s="16">
        <v>0</v>
      </c>
      <c r="F13" s="19">
        <f t="shared" si="1"/>
        <v>0</v>
      </c>
    </row>
    <row r="14" ht="22" customHeight="1" spans="1:6">
      <c r="A14" s="26" t="s">
        <v>90</v>
      </c>
      <c r="B14" s="27">
        <f>SUM(B9:B13)</f>
        <v>26</v>
      </c>
      <c r="C14" s="27">
        <f>SUM(C9:C13)</f>
        <v>17</v>
      </c>
      <c r="D14" s="28">
        <f t="shared" si="0"/>
        <v>0.653846153846154</v>
      </c>
      <c r="E14" s="27">
        <f>SUM(E9:E13)</f>
        <v>4</v>
      </c>
      <c r="F14" s="29">
        <f t="shared" si="1"/>
        <v>0.153846153846154</v>
      </c>
    </row>
  </sheetData>
  <mergeCells count="2">
    <mergeCell ref="A2:F2"/>
    <mergeCell ref="A7:F7"/>
  </mergeCells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F14"/>
  <sheetViews>
    <sheetView showGridLines="0" zoomScale="70" zoomScaleNormal="70" topLeftCell="A4" workbookViewId="0">
      <selection activeCell="I8" sqref="I8"/>
    </sheetView>
  </sheetViews>
  <sheetFormatPr defaultColWidth="9" defaultRowHeight="14.4" outlineLevelCol="5"/>
  <cols>
    <col min="1" max="1" width="16" customWidth="1"/>
    <col min="2" max="6" width="14" customWidth="1"/>
  </cols>
  <sheetData>
    <row r="1" ht="8" customHeight="1"/>
    <row r="2" ht="36" customHeight="1" spans="1:6">
      <c r="A2" s="1" t="s">
        <v>100</v>
      </c>
    </row>
    <row r="3" ht="15.15"/>
    <row r="4" ht="22" customHeight="1" spans="1:6">
      <c r="A4" s="2" t="s">
        <v>27</v>
      </c>
      <c r="B4" s="3" t="s">
        <v>59</v>
      </c>
      <c r="C4" s="3" t="s">
        <v>16</v>
      </c>
      <c r="D4" s="3" t="s">
        <v>17</v>
      </c>
      <c r="E4" s="3" t="s">
        <v>15</v>
      </c>
      <c r="F4" s="4" t="s">
        <v>68</v>
      </c>
    </row>
    <row r="5" ht="22" customHeight="1" spans="1:6">
      <c r="A5" s="5">
        <v>19</v>
      </c>
      <c r="B5" s="6">
        <v>13</v>
      </c>
      <c r="C5" s="6">
        <v>2</v>
      </c>
      <c r="D5" s="7">
        <v>0.1053</v>
      </c>
      <c r="E5" s="7">
        <v>0.6842</v>
      </c>
      <c r="F5" s="8">
        <v>4.75</v>
      </c>
    </row>
    <row r="6" ht="15.15"/>
    <row r="7" ht="26" customHeight="1" spans="1:6">
      <c r="A7" s="9" t="s">
        <v>84</v>
      </c>
      <c r="B7" s="10"/>
      <c r="C7" s="10"/>
      <c r="D7" s="10"/>
      <c r="E7" s="10"/>
      <c r="F7" s="11"/>
    </row>
    <row r="8" spans="1:6">
      <c r="A8" s="12" t="s">
        <v>60</v>
      </c>
      <c r="B8" s="13" t="s">
        <v>27</v>
      </c>
      <c r="C8" s="13" t="s">
        <v>59</v>
      </c>
      <c r="D8" s="13" t="s">
        <v>15</v>
      </c>
      <c r="E8" s="13" t="s">
        <v>16</v>
      </c>
      <c r="F8" s="14" t="s">
        <v>17</v>
      </c>
    </row>
    <row r="9" ht="20" customHeight="1" spans="1:6">
      <c r="A9" s="15" t="s">
        <v>85</v>
      </c>
      <c r="B9" s="16">
        <v>0</v>
      </c>
      <c r="C9" s="17">
        <v>0</v>
      </c>
      <c r="D9" s="18">
        <v>0</v>
      </c>
      <c r="E9" s="16">
        <v>0</v>
      </c>
      <c r="F9" s="19">
        <v>0</v>
      </c>
    </row>
    <row r="10" ht="20" customHeight="1" spans="1:6">
      <c r="A10" s="20" t="s">
        <v>86</v>
      </c>
      <c r="B10" s="21">
        <v>3</v>
      </c>
      <c r="C10" s="22">
        <v>3</v>
      </c>
      <c r="D10" s="23">
        <f>C10/B10</f>
        <v>1</v>
      </c>
      <c r="E10" s="21">
        <v>0</v>
      </c>
      <c r="F10" s="24">
        <f>E10/B10</f>
        <v>0</v>
      </c>
    </row>
    <row r="11" ht="20" customHeight="1" spans="1:6">
      <c r="A11" s="15" t="s">
        <v>87</v>
      </c>
      <c r="B11" s="16">
        <v>8</v>
      </c>
      <c r="C11" s="17">
        <v>5</v>
      </c>
      <c r="D11" s="18">
        <f>C11/B11</f>
        <v>0.625</v>
      </c>
      <c r="E11" s="25">
        <v>1</v>
      </c>
      <c r="F11" s="19">
        <f>E11/B11</f>
        <v>0.125</v>
      </c>
    </row>
    <row r="12" ht="20" customHeight="1" spans="1:6">
      <c r="A12" s="20" t="s">
        <v>88</v>
      </c>
      <c r="B12" s="21">
        <v>1</v>
      </c>
      <c r="C12" s="22">
        <v>1</v>
      </c>
      <c r="D12" s="23">
        <f>C12/B12</f>
        <v>1</v>
      </c>
      <c r="E12" s="21">
        <v>0</v>
      </c>
      <c r="F12" s="24">
        <f>E12/B12</f>
        <v>0</v>
      </c>
    </row>
    <row r="13" ht="20" customHeight="1" spans="1:6">
      <c r="A13" s="15" t="s">
        <v>89</v>
      </c>
      <c r="B13" s="16">
        <v>7</v>
      </c>
      <c r="C13" s="17">
        <v>4</v>
      </c>
      <c r="D13" s="18">
        <f>C13/B13</f>
        <v>0.571428571428571</v>
      </c>
      <c r="E13" s="25">
        <v>1</v>
      </c>
      <c r="F13" s="19">
        <f>E13/B13</f>
        <v>0.142857142857143</v>
      </c>
    </row>
    <row r="14" ht="22" customHeight="1" spans="1:6">
      <c r="A14" s="26" t="s">
        <v>90</v>
      </c>
      <c r="B14" s="27">
        <f>SUM(B9:B13)</f>
        <v>19</v>
      </c>
      <c r="C14" s="27">
        <f>SUM(C9:C13)</f>
        <v>13</v>
      </c>
      <c r="D14" s="28">
        <f>C14/B14</f>
        <v>0.684210526315789</v>
      </c>
      <c r="E14" s="27">
        <f>SUM(E9:E13)</f>
        <v>2</v>
      </c>
      <c r="F14" s="29">
        <f>E14/B14</f>
        <v>0.105263157894737</v>
      </c>
    </row>
  </sheetData>
  <mergeCells count="2">
    <mergeCell ref="A2:F2"/>
    <mergeCell ref="A7:F7"/>
  </mergeCells>
  <pageMargins left="0.75" right="0.75" top="1" bottom="1" header="0.5" footer="0.5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F14"/>
  <sheetViews>
    <sheetView showGridLines="0" zoomScale="85" zoomScaleNormal="85" topLeftCell="A3" workbookViewId="0">
      <selection activeCell="A1" sqref="A1"/>
    </sheetView>
  </sheetViews>
  <sheetFormatPr defaultColWidth="9" defaultRowHeight="14.4" outlineLevelCol="5"/>
  <cols>
    <col min="1" max="1" width="16" customWidth="1"/>
    <col min="2" max="6" width="14" customWidth="1"/>
  </cols>
  <sheetData>
    <row r="1" ht="8" customHeight="1"/>
    <row r="2" ht="36" customHeight="1" spans="1:6">
      <c r="A2" s="1" t="s">
        <v>101</v>
      </c>
    </row>
    <row r="3" ht="15.15"/>
    <row r="4" ht="22" customHeight="1" spans="1:6">
      <c r="A4" s="2" t="s">
        <v>27</v>
      </c>
      <c r="B4" s="3" t="s">
        <v>59</v>
      </c>
      <c r="C4" s="3" t="s">
        <v>16</v>
      </c>
      <c r="D4" s="3" t="s">
        <v>17</v>
      </c>
      <c r="E4" s="3" t="s">
        <v>15</v>
      </c>
      <c r="F4" s="4" t="s">
        <v>68</v>
      </c>
    </row>
    <row r="5" ht="22" customHeight="1" spans="1:6">
      <c r="A5" s="5">
        <v>21</v>
      </c>
      <c r="B5" s="6">
        <v>13</v>
      </c>
      <c r="C5" s="6">
        <v>4</v>
      </c>
      <c r="D5" s="7">
        <v>0.1905</v>
      </c>
      <c r="E5" s="7">
        <v>0.619</v>
      </c>
      <c r="F5" s="8">
        <v>4.2</v>
      </c>
    </row>
    <row r="6" ht="15.15"/>
    <row r="7" ht="26" customHeight="1" spans="1:6">
      <c r="A7" s="9" t="s">
        <v>84</v>
      </c>
      <c r="B7" s="10"/>
      <c r="C7" s="10"/>
      <c r="D7" s="10"/>
      <c r="E7" s="10"/>
      <c r="F7" s="11"/>
    </row>
    <row r="8" spans="1:6">
      <c r="A8" s="12" t="s">
        <v>60</v>
      </c>
      <c r="B8" s="13" t="s">
        <v>27</v>
      </c>
      <c r="C8" s="13" t="s">
        <v>59</v>
      </c>
      <c r="D8" s="13" t="s">
        <v>15</v>
      </c>
      <c r="E8" s="13" t="s">
        <v>16</v>
      </c>
      <c r="F8" s="14" t="s">
        <v>17</v>
      </c>
    </row>
    <row r="9" ht="20" customHeight="1" spans="1:6">
      <c r="A9" s="15" t="s">
        <v>85</v>
      </c>
      <c r="B9" s="16">
        <v>1</v>
      </c>
      <c r="C9" s="17">
        <v>0</v>
      </c>
      <c r="D9" s="18">
        <f t="shared" ref="D9:D14" si="0">C9/B9</f>
        <v>0</v>
      </c>
      <c r="E9" s="25">
        <v>1</v>
      </c>
      <c r="F9" s="19">
        <f t="shared" ref="F9:F14" si="1">E9/B9</f>
        <v>1</v>
      </c>
    </row>
    <row r="10" ht="20" customHeight="1" spans="1:6">
      <c r="A10" s="20" t="s">
        <v>86</v>
      </c>
      <c r="B10" s="21">
        <v>2</v>
      </c>
      <c r="C10" s="22">
        <v>1</v>
      </c>
      <c r="D10" s="23">
        <f t="shared" si="0"/>
        <v>0.5</v>
      </c>
      <c r="E10" s="21">
        <v>0</v>
      </c>
      <c r="F10" s="24">
        <f t="shared" si="1"/>
        <v>0</v>
      </c>
    </row>
    <row r="11" ht="20" customHeight="1" spans="1:6">
      <c r="A11" s="15" t="s">
        <v>87</v>
      </c>
      <c r="B11" s="16">
        <v>6</v>
      </c>
      <c r="C11" s="17">
        <v>3</v>
      </c>
      <c r="D11" s="18">
        <f t="shared" si="0"/>
        <v>0.5</v>
      </c>
      <c r="E11" s="25">
        <v>1</v>
      </c>
      <c r="F11" s="19">
        <f t="shared" si="1"/>
        <v>0.166666666666667</v>
      </c>
    </row>
    <row r="12" ht="20" customHeight="1" spans="1:6">
      <c r="A12" s="20" t="s">
        <v>88</v>
      </c>
      <c r="B12" s="21">
        <v>5</v>
      </c>
      <c r="C12" s="22">
        <v>4</v>
      </c>
      <c r="D12" s="23">
        <f t="shared" si="0"/>
        <v>0.8</v>
      </c>
      <c r="E12" s="21">
        <v>0</v>
      </c>
      <c r="F12" s="24">
        <f t="shared" si="1"/>
        <v>0</v>
      </c>
    </row>
    <row r="13" ht="20" customHeight="1" spans="1:6">
      <c r="A13" s="15" t="s">
        <v>89</v>
      </c>
      <c r="B13" s="16">
        <v>7</v>
      </c>
      <c r="C13" s="17">
        <v>5</v>
      </c>
      <c r="D13" s="18">
        <f t="shared" si="0"/>
        <v>0.714285714285714</v>
      </c>
      <c r="E13" s="25">
        <v>2</v>
      </c>
      <c r="F13" s="19">
        <f t="shared" si="1"/>
        <v>0.285714285714286</v>
      </c>
    </row>
    <row r="14" ht="22" customHeight="1" spans="1:6">
      <c r="A14" s="26" t="s">
        <v>90</v>
      </c>
      <c r="B14" s="27">
        <f>SUM(B9:B13)</f>
        <v>21</v>
      </c>
      <c r="C14" s="27">
        <f>SUM(C9:C13)</f>
        <v>13</v>
      </c>
      <c r="D14" s="28">
        <f t="shared" si="0"/>
        <v>0.619047619047619</v>
      </c>
      <c r="E14" s="27">
        <f>SUM(E9:E13)</f>
        <v>4</v>
      </c>
      <c r="F14" s="29">
        <f t="shared" si="1"/>
        <v>0.19047619047619</v>
      </c>
    </row>
  </sheetData>
  <mergeCells count="2">
    <mergeCell ref="A2:F2"/>
    <mergeCell ref="A7:F7"/>
  </mergeCells>
  <pageMargins left="0.75" right="0.75" top="1" bottom="1" header="0.5" footer="0.5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F14"/>
  <sheetViews>
    <sheetView showGridLines="0" zoomScale="85" zoomScaleNormal="85" topLeftCell="A3" workbookViewId="0">
      <selection activeCell="A1" sqref="A1"/>
    </sheetView>
  </sheetViews>
  <sheetFormatPr defaultColWidth="9" defaultRowHeight="14.4" outlineLevelCol="5"/>
  <cols>
    <col min="1" max="1" width="16" customWidth="1"/>
    <col min="2" max="6" width="14" customWidth="1"/>
  </cols>
  <sheetData>
    <row r="1" ht="8" customHeight="1"/>
    <row r="2" ht="36" customHeight="1" spans="1:6">
      <c r="A2" s="1" t="s">
        <v>102</v>
      </c>
    </row>
    <row r="3" ht="15.15"/>
    <row r="4" ht="22" customHeight="1" spans="1:6">
      <c r="A4" s="2" t="s">
        <v>27</v>
      </c>
      <c r="B4" s="3" t="s">
        <v>59</v>
      </c>
      <c r="C4" s="3" t="s">
        <v>16</v>
      </c>
      <c r="D4" s="3" t="s">
        <v>17</v>
      </c>
      <c r="E4" s="3" t="s">
        <v>15</v>
      </c>
      <c r="F4" s="4" t="s">
        <v>68</v>
      </c>
    </row>
    <row r="5" ht="22" customHeight="1" spans="1:6">
      <c r="A5" s="5">
        <v>29</v>
      </c>
      <c r="B5" s="6">
        <v>17</v>
      </c>
      <c r="C5" s="6">
        <v>9</v>
      </c>
      <c r="D5" s="7">
        <v>0.3103</v>
      </c>
      <c r="E5" s="7">
        <v>0.5862</v>
      </c>
      <c r="F5" s="8">
        <v>5.8</v>
      </c>
    </row>
    <row r="6" ht="15.15"/>
    <row r="7" ht="26" customHeight="1" spans="1:6">
      <c r="A7" s="9" t="s">
        <v>84</v>
      </c>
      <c r="B7" s="10"/>
      <c r="C7" s="10"/>
      <c r="D7" s="10"/>
      <c r="E7" s="10"/>
      <c r="F7" s="11"/>
    </row>
    <row r="8" spans="1:6">
      <c r="A8" s="12" t="s">
        <v>60</v>
      </c>
      <c r="B8" s="13" t="s">
        <v>27</v>
      </c>
      <c r="C8" s="13" t="s">
        <v>59</v>
      </c>
      <c r="D8" s="13" t="s">
        <v>15</v>
      </c>
      <c r="E8" s="13" t="s">
        <v>16</v>
      </c>
      <c r="F8" s="14" t="s">
        <v>17</v>
      </c>
    </row>
    <row r="9" ht="20" customHeight="1" spans="1:6">
      <c r="A9" s="15" t="s">
        <v>85</v>
      </c>
      <c r="B9" s="16">
        <v>7</v>
      </c>
      <c r="C9" s="17">
        <v>3</v>
      </c>
      <c r="D9" s="18">
        <f t="shared" ref="D9:D14" si="0">C9/B9</f>
        <v>0.428571428571429</v>
      </c>
      <c r="E9" s="25">
        <v>2</v>
      </c>
      <c r="F9" s="19">
        <f t="shared" ref="F9:F14" si="1">E9/B9</f>
        <v>0.285714285714286</v>
      </c>
    </row>
    <row r="10" ht="20" customHeight="1" spans="1:6">
      <c r="A10" s="20" t="s">
        <v>86</v>
      </c>
      <c r="B10" s="21">
        <v>5</v>
      </c>
      <c r="C10" s="22">
        <v>5</v>
      </c>
      <c r="D10" s="23">
        <f t="shared" si="0"/>
        <v>1</v>
      </c>
      <c r="E10" s="21">
        <v>0</v>
      </c>
      <c r="F10" s="24">
        <f t="shared" si="1"/>
        <v>0</v>
      </c>
    </row>
    <row r="11" ht="20" customHeight="1" spans="1:6">
      <c r="A11" s="15" t="s">
        <v>87</v>
      </c>
      <c r="B11" s="16">
        <v>5</v>
      </c>
      <c r="C11" s="17">
        <v>3</v>
      </c>
      <c r="D11" s="18">
        <f t="shared" si="0"/>
        <v>0.6</v>
      </c>
      <c r="E11" s="25">
        <v>2</v>
      </c>
      <c r="F11" s="19">
        <f t="shared" si="1"/>
        <v>0.4</v>
      </c>
    </row>
    <row r="12" ht="20" customHeight="1" spans="1:6">
      <c r="A12" s="20" t="s">
        <v>88</v>
      </c>
      <c r="B12" s="21">
        <v>5</v>
      </c>
      <c r="C12" s="22">
        <v>5</v>
      </c>
      <c r="D12" s="23">
        <f t="shared" si="0"/>
        <v>1</v>
      </c>
      <c r="E12" s="21">
        <v>0</v>
      </c>
      <c r="F12" s="24">
        <f t="shared" si="1"/>
        <v>0</v>
      </c>
    </row>
    <row r="13" ht="20" customHeight="1" spans="1:6">
      <c r="A13" s="15" t="s">
        <v>89</v>
      </c>
      <c r="B13" s="16">
        <v>7</v>
      </c>
      <c r="C13" s="17">
        <v>1</v>
      </c>
      <c r="D13" s="18">
        <f t="shared" si="0"/>
        <v>0.142857142857143</v>
      </c>
      <c r="E13" s="25">
        <v>5</v>
      </c>
      <c r="F13" s="19">
        <f t="shared" si="1"/>
        <v>0.714285714285714</v>
      </c>
    </row>
    <row r="14" ht="22" customHeight="1" spans="1:6">
      <c r="A14" s="26" t="s">
        <v>90</v>
      </c>
      <c r="B14" s="27">
        <f>SUM(B9:B13)</f>
        <v>29</v>
      </c>
      <c r="C14" s="27">
        <f>SUM(C9:C13)</f>
        <v>17</v>
      </c>
      <c r="D14" s="28">
        <f t="shared" si="0"/>
        <v>0.586206896551724</v>
      </c>
      <c r="E14" s="27">
        <f>SUM(E9:E13)</f>
        <v>9</v>
      </c>
      <c r="F14" s="29">
        <f t="shared" si="1"/>
        <v>0.310344827586207</v>
      </c>
    </row>
  </sheetData>
  <mergeCells count="2">
    <mergeCell ref="A2:F2"/>
    <mergeCell ref="A7:F7"/>
  </mergeCells>
  <pageMargins left="0.75" right="0.75" top="1" bottom="1" header="0.5" footer="0.5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F14"/>
  <sheetViews>
    <sheetView showGridLines="0" zoomScale="70" zoomScaleNormal="70" workbookViewId="0">
      <selection activeCell="A1" sqref="A1"/>
    </sheetView>
  </sheetViews>
  <sheetFormatPr defaultColWidth="9" defaultRowHeight="14.4" outlineLevelCol="5"/>
  <cols>
    <col min="1" max="1" width="16" customWidth="1"/>
    <col min="2" max="6" width="14" customWidth="1"/>
  </cols>
  <sheetData>
    <row r="1" ht="8" customHeight="1"/>
    <row r="2" ht="36" customHeight="1" spans="1:6">
      <c r="A2" s="1" t="s">
        <v>103</v>
      </c>
    </row>
    <row r="3" ht="15.15"/>
    <row r="4" ht="22" customHeight="1" spans="1:6">
      <c r="A4" s="2" t="s">
        <v>27</v>
      </c>
      <c r="B4" s="3" t="s">
        <v>59</v>
      </c>
      <c r="C4" s="3" t="s">
        <v>16</v>
      </c>
      <c r="D4" s="3" t="s">
        <v>17</v>
      </c>
      <c r="E4" s="3" t="s">
        <v>15</v>
      </c>
      <c r="F4" s="4" t="s">
        <v>68</v>
      </c>
    </row>
    <row r="5" ht="22" customHeight="1" spans="1:6">
      <c r="A5" s="5">
        <v>29</v>
      </c>
      <c r="B5" s="6">
        <v>17</v>
      </c>
      <c r="C5" s="6">
        <v>8</v>
      </c>
      <c r="D5" s="7">
        <v>0.2759</v>
      </c>
      <c r="E5" s="7">
        <v>0.5862</v>
      </c>
      <c r="F5" s="8">
        <v>5.8</v>
      </c>
    </row>
    <row r="6" ht="15.15"/>
    <row r="7" ht="26" customHeight="1" spans="1:6">
      <c r="A7" s="9" t="s">
        <v>84</v>
      </c>
      <c r="B7" s="10"/>
      <c r="C7" s="10"/>
      <c r="D7" s="10"/>
      <c r="E7" s="10"/>
      <c r="F7" s="11"/>
    </row>
    <row r="8" spans="1:6">
      <c r="A8" s="12" t="s">
        <v>60</v>
      </c>
      <c r="B8" s="13" t="s">
        <v>27</v>
      </c>
      <c r="C8" s="13" t="s">
        <v>59</v>
      </c>
      <c r="D8" s="13" t="s">
        <v>15</v>
      </c>
      <c r="E8" s="13" t="s">
        <v>16</v>
      </c>
      <c r="F8" s="14" t="s">
        <v>17</v>
      </c>
    </row>
    <row r="9" ht="20" customHeight="1" spans="1:6">
      <c r="A9" s="15" t="s">
        <v>85</v>
      </c>
      <c r="B9" s="16">
        <v>2</v>
      </c>
      <c r="C9" s="17">
        <v>1</v>
      </c>
      <c r="D9" s="18">
        <f t="shared" ref="D9:D14" si="0">C9/B9</f>
        <v>0.5</v>
      </c>
      <c r="E9" s="25">
        <v>1</v>
      </c>
      <c r="F9" s="19">
        <f t="shared" ref="F9:F14" si="1">E9/B9</f>
        <v>0.5</v>
      </c>
    </row>
    <row r="10" ht="20" customHeight="1" spans="1:6">
      <c r="A10" s="20" t="s">
        <v>86</v>
      </c>
      <c r="B10" s="21">
        <v>7</v>
      </c>
      <c r="C10" s="22">
        <v>5</v>
      </c>
      <c r="D10" s="23">
        <f t="shared" si="0"/>
        <v>0.714285714285714</v>
      </c>
      <c r="E10" s="30">
        <v>1</v>
      </c>
      <c r="F10" s="24">
        <f t="shared" si="1"/>
        <v>0.142857142857143</v>
      </c>
    </row>
    <row r="11" ht="20" customHeight="1" spans="1:6">
      <c r="A11" s="15" t="s">
        <v>87</v>
      </c>
      <c r="B11" s="16">
        <v>5</v>
      </c>
      <c r="C11" s="17">
        <v>3</v>
      </c>
      <c r="D11" s="18">
        <f t="shared" si="0"/>
        <v>0.6</v>
      </c>
      <c r="E11" s="25">
        <v>1</v>
      </c>
      <c r="F11" s="19">
        <f t="shared" si="1"/>
        <v>0.2</v>
      </c>
    </row>
    <row r="12" ht="20" customHeight="1" spans="1:6">
      <c r="A12" s="20" t="s">
        <v>88</v>
      </c>
      <c r="B12" s="21">
        <v>5</v>
      </c>
      <c r="C12" s="22">
        <v>4</v>
      </c>
      <c r="D12" s="23">
        <f t="shared" si="0"/>
        <v>0.8</v>
      </c>
      <c r="E12" s="30">
        <v>1</v>
      </c>
      <c r="F12" s="24">
        <f t="shared" si="1"/>
        <v>0.2</v>
      </c>
    </row>
    <row r="13" ht="20" customHeight="1" spans="1:6">
      <c r="A13" s="15" t="s">
        <v>89</v>
      </c>
      <c r="B13" s="16">
        <v>10</v>
      </c>
      <c r="C13" s="17">
        <v>4</v>
      </c>
      <c r="D13" s="18">
        <f t="shared" si="0"/>
        <v>0.4</v>
      </c>
      <c r="E13" s="25">
        <v>4</v>
      </c>
      <c r="F13" s="19">
        <f t="shared" si="1"/>
        <v>0.4</v>
      </c>
    </row>
    <row r="14" ht="22" customHeight="1" spans="1:6">
      <c r="A14" s="26" t="s">
        <v>90</v>
      </c>
      <c r="B14" s="27">
        <f>SUM(B9:B13)</f>
        <v>29</v>
      </c>
      <c r="C14" s="27">
        <f>SUM(C9:C13)</f>
        <v>17</v>
      </c>
      <c r="D14" s="28">
        <f t="shared" si="0"/>
        <v>0.586206896551724</v>
      </c>
      <c r="E14" s="27">
        <f>SUM(E9:E13)</f>
        <v>8</v>
      </c>
      <c r="F14" s="29">
        <f t="shared" si="1"/>
        <v>0.275862068965517</v>
      </c>
    </row>
  </sheetData>
  <mergeCells count="2">
    <mergeCell ref="A2:F2"/>
    <mergeCell ref="A7:F7"/>
  </mergeCells>
  <pageMargins left="0.75" right="0.75" top="1" bottom="1" header="0.5" footer="0.5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F14"/>
  <sheetViews>
    <sheetView showGridLines="0" zoomScale="70" zoomScaleNormal="70" topLeftCell="A3" workbookViewId="0">
      <selection activeCell="A1" sqref="A1"/>
    </sheetView>
  </sheetViews>
  <sheetFormatPr defaultColWidth="9" defaultRowHeight="14.4" outlineLevelCol="5"/>
  <cols>
    <col min="1" max="1" width="16" customWidth="1"/>
    <col min="2" max="6" width="14" customWidth="1"/>
  </cols>
  <sheetData>
    <row r="1" ht="8" customHeight="1"/>
    <row r="2" ht="36" customHeight="1" spans="1:6">
      <c r="A2" s="1" t="s">
        <v>104</v>
      </c>
    </row>
    <row r="3" ht="15.15"/>
    <row r="4" ht="22" customHeight="1" spans="1:6">
      <c r="A4" s="2" t="s">
        <v>27</v>
      </c>
      <c r="B4" s="3" t="s">
        <v>59</v>
      </c>
      <c r="C4" s="3" t="s">
        <v>16</v>
      </c>
      <c r="D4" s="3" t="s">
        <v>17</v>
      </c>
      <c r="E4" s="3" t="s">
        <v>15</v>
      </c>
      <c r="F4" s="4" t="s">
        <v>68</v>
      </c>
    </row>
    <row r="5" ht="22" customHeight="1" spans="1:6">
      <c r="A5" s="5">
        <v>20</v>
      </c>
      <c r="B5" s="6">
        <v>16</v>
      </c>
      <c r="C5" s="6">
        <v>1</v>
      </c>
      <c r="D5" s="7">
        <v>0.05</v>
      </c>
      <c r="E5" s="7">
        <v>0.8</v>
      </c>
      <c r="F5" s="8">
        <v>5</v>
      </c>
    </row>
    <row r="6" ht="15.15"/>
    <row r="7" ht="26" customHeight="1" spans="1:6">
      <c r="A7" s="9" t="s">
        <v>84</v>
      </c>
      <c r="B7" s="10"/>
      <c r="C7" s="10"/>
      <c r="D7" s="10"/>
      <c r="E7" s="10"/>
      <c r="F7" s="11"/>
    </row>
    <row r="8" spans="1:6">
      <c r="A8" s="12" t="s">
        <v>60</v>
      </c>
      <c r="B8" s="13" t="s">
        <v>27</v>
      </c>
      <c r="C8" s="13" t="s">
        <v>59</v>
      </c>
      <c r="D8" s="13" t="s">
        <v>15</v>
      </c>
      <c r="E8" s="13" t="s">
        <v>16</v>
      </c>
      <c r="F8" s="14" t="s">
        <v>17</v>
      </c>
    </row>
    <row r="9" ht="20" customHeight="1" spans="1:6">
      <c r="A9" s="15" t="s">
        <v>85</v>
      </c>
      <c r="B9" s="16">
        <v>3</v>
      </c>
      <c r="C9" s="17">
        <v>3</v>
      </c>
      <c r="D9" s="18">
        <f>C9/B9</f>
        <v>1</v>
      </c>
      <c r="E9" s="16">
        <v>0</v>
      </c>
      <c r="F9" s="19">
        <f>E9/B9</f>
        <v>0</v>
      </c>
    </row>
    <row r="10" ht="20" customHeight="1" spans="1:6">
      <c r="A10" s="20" t="s">
        <v>86</v>
      </c>
      <c r="B10" s="21">
        <v>5</v>
      </c>
      <c r="C10" s="22">
        <v>3</v>
      </c>
      <c r="D10" s="23">
        <f>C10/B10</f>
        <v>0.6</v>
      </c>
      <c r="E10" s="21">
        <v>0</v>
      </c>
      <c r="F10" s="24">
        <f>E10/B10</f>
        <v>0</v>
      </c>
    </row>
    <row r="11" ht="20" customHeight="1" spans="1:6">
      <c r="A11" s="15" t="s">
        <v>87</v>
      </c>
      <c r="B11" s="16">
        <v>2</v>
      </c>
      <c r="C11" s="17">
        <v>1</v>
      </c>
      <c r="D11" s="18">
        <f>C11/B11</f>
        <v>0.5</v>
      </c>
      <c r="E11" s="25">
        <v>1</v>
      </c>
      <c r="F11" s="19">
        <f>E11/B11</f>
        <v>0.5</v>
      </c>
    </row>
    <row r="12" ht="20" customHeight="1" spans="1:6">
      <c r="A12" s="20" t="s">
        <v>88</v>
      </c>
      <c r="B12" s="21">
        <v>0</v>
      </c>
      <c r="C12" s="22">
        <v>0</v>
      </c>
      <c r="D12" s="23">
        <v>0</v>
      </c>
      <c r="E12" s="21">
        <v>0</v>
      </c>
      <c r="F12" s="24">
        <v>0</v>
      </c>
    </row>
    <row r="13" ht="20" customHeight="1" spans="1:6">
      <c r="A13" s="15" t="s">
        <v>89</v>
      </c>
      <c r="B13" s="16">
        <v>10</v>
      </c>
      <c r="C13" s="17">
        <v>9</v>
      </c>
      <c r="D13" s="18">
        <f>C13/B13</f>
        <v>0.9</v>
      </c>
      <c r="E13" s="16">
        <v>0</v>
      </c>
      <c r="F13" s="19">
        <f>E13/B13</f>
        <v>0</v>
      </c>
    </row>
    <row r="14" ht="22" customHeight="1" spans="1:6">
      <c r="A14" s="26" t="s">
        <v>90</v>
      </c>
      <c r="B14" s="27">
        <f>SUM(B9:B13)</f>
        <v>20</v>
      </c>
      <c r="C14" s="27">
        <f>SUM(C9:C13)</f>
        <v>16</v>
      </c>
      <c r="D14" s="28">
        <f>C14/B14</f>
        <v>0.8</v>
      </c>
      <c r="E14" s="27">
        <f>SUM(E9:E13)</f>
        <v>1</v>
      </c>
      <c r="F14" s="29">
        <f>E14/B14</f>
        <v>0.05</v>
      </c>
    </row>
  </sheetData>
  <mergeCells count="2">
    <mergeCell ref="A2:F2"/>
    <mergeCell ref="A7:F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DASHBOARD</vt:lpstr>
      <vt:lpstr>RawData</vt:lpstr>
      <vt:lpstr>Adam</vt:lpstr>
      <vt:lpstr>Al-ameen</vt:lpstr>
      <vt:lpstr>Chibueze</vt:lpstr>
      <vt:lpstr>Dami</vt:lpstr>
      <vt:lpstr>Femi</vt:lpstr>
      <vt:lpstr>Goodluck</vt:lpstr>
      <vt:lpstr>Iyiola</vt:lpstr>
      <vt:lpstr>Jamiu</vt:lpstr>
      <vt:lpstr>Lebari</vt:lpstr>
      <vt:lpstr>Mariam</vt:lpstr>
      <vt:lpstr>Opemipo</vt:lpstr>
      <vt:lpstr>Oluwatobi</vt:lpstr>
      <vt:lpstr>Seyi</vt:lpstr>
      <vt:lpstr>Solomon</vt:lpstr>
      <vt:lpstr>Somtochukwu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anuot</cp:lastModifiedBy>
  <dcterms:created xsi:type="dcterms:W3CDTF">2026-05-25T09:18:00Z</dcterms:created>
  <dcterms:modified xsi:type="dcterms:W3CDTF">2026-05-25T11:21:30Z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4BDB06CE1FBC426DA7FB9CEB58E137E1_12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